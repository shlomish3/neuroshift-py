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BDAD7741-AB86-488C-B226-2EF2EFF2B4F3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1" l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1" i="1" a="1"/>
  <c r="M11" i="1" s="1"/>
  <c r="M10" i="1" a="1"/>
  <c r="M10" i="1" s="1"/>
  <c r="M9" i="1" a="1"/>
  <c r="M9" i="1" s="1"/>
  <c r="M8" i="1" a="1"/>
  <c r="M8" i="1" s="1"/>
  <c r="M7" i="1" a="1"/>
  <c r="M7" i="1" s="1"/>
  <c r="M6" i="1" a="1"/>
  <c r="M6" i="1" s="1"/>
  <c r="M5" i="1" a="1"/>
  <c r="M5" i="1" s="1"/>
  <c r="M4" i="1" a="1"/>
  <c r="M4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D10" i="4" a="1"/>
  <c r="D10" i="4" s="1"/>
  <c r="C10" i="4" a="1"/>
  <c r="C10" i="4" s="1"/>
  <c r="B10" i="4" a="1"/>
  <c r="B10" i="4" s="1"/>
  <c r="A10" i="4" a="1"/>
  <c r="A10" i="4" s="1"/>
  <c r="D9" i="4" a="1"/>
  <c r="D9" i="4" s="1"/>
  <c r="C9" i="4" a="1"/>
  <c r="C9" i="4" s="1"/>
  <c r="B9" i="4" a="1"/>
  <c r="B9" i="4" s="1"/>
  <c r="A9" i="4" a="1"/>
  <c r="A9" i="4" s="1"/>
  <c r="D8" i="4" a="1"/>
  <c r="D8" i="4" s="1"/>
  <c r="C8" i="4" a="1"/>
  <c r="C8" i="4" s="1"/>
  <c r="B8" i="4" a="1"/>
  <c r="B8" i="4" s="1"/>
  <c r="A8" i="4" a="1"/>
  <c r="A8" i="4" s="1"/>
  <c r="D7" i="4" a="1"/>
  <c r="D7" i="4" s="1"/>
  <c r="C7" i="4" a="1"/>
  <c r="C7" i="4" s="1"/>
  <c r="B7" i="4" a="1"/>
  <c r="B7" i="4" s="1"/>
  <c r="A7" i="4" a="1"/>
  <c r="A7" i="4" s="1"/>
  <c r="D6" i="4" a="1"/>
  <c r="D6" i="4" s="1"/>
  <c r="C6" i="4" a="1"/>
  <c r="C6" i="4" s="1"/>
  <c r="B6" i="4" a="1"/>
  <c r="B6" i="4" s="1"/>
  <c r="A6" i="4" a="1"/>
  <c r="A6" i="4" s="1"/>
  <c r="D5" i="4" a="1"/>
  <c r="D5" i="4" s="1"/>
  <c r="C5" i="4" a="1"/>
  <c r="C5" i="4" s="1"/>
  <c r="B5" i="4" a="1"/>
  <c r="B5" i="4" s="1"/>
  <c r="A5" i="4" a="1"/>
  <c r="A5" i="4" s="1"/>
  <c r="B34" i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4" i="1" a="1"/>
  <c r="P4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F7" i="1"/>
  <c r="E7" i="1"/>
  <c r="D7" i="1"/>
  <c r="C7" i="1"/>
  <c r="B7" i="1"/>
  <c r="L12" i="1" l="1" a="1"/>
  <c r="L12" i="1" s="1"/>
  <c r="L22" i="1" a="1"/>
  <c r="L22" i="1" s="1"/>
  <c r="L16" i="1" a="1"/>
  <c r="L16" i="1" s="1"/>
  <c r="L10" i="1" a="1"/>
  <c r="L10" i="1" s="1"/>
  <c r="L6" i="1" a="1"/>
  <c r="L6" i="1" s="1"/>
  <c r="L21" i="1" a="1"/>
  <c r="L21" i="1" s="1"/>
  <c r="L15" i="1" a="1"/>
  <c r="L15" i="1" s="1"/>
  <c r="L9" i="1" a="1"/>
  <c r="L9" i="1" s="1"/>
  <c r="L20" i="1" a="1"/>
  <c r="L20" i="1" s="1"/>
  <c r="L14" i="1" a="1"/>
  <c r="L14" i="1" s="1"/>
  <c r="L8" i="1" a="1"/>
  <c r="L8" i="1" s="1"/>
  <c r="L19" i="1" a="1"/>
  <c r="L19" i="1" s="1"/>
  <c r="L13" i="1" a="1"/>
  <c r="L13" i="1" s="1"/>
  <c r="L7" i="1" a="1"/>
  <c r="L7" i="1" s="1"/>
  <c r="L18" i="1" a="1"/>
  <c r="L18" i="1" s="1"/>
  <c r="L17" i="1" a="1"/>
  <c r="L17" i="1" s="1"/>
  <c r="L11" i="1" a="1"/>
  <c r="L11" i="1" s="1"/>
  <c r="L5" i="1" a="1"/>
  <c r="L5" i="1" s="1"/>
  <c r="L4" i="1" a="1"/>
  <c r="L4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<sst xmlns="http://schemas.openxmlformats.org/spreadsheetml/2006/main" count="267" uniqueCount="81">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</sst>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12" fillId="2" borderId="1" xfId="0" applyFont="1" applyFill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2" borderId="1" xfId="0" applyFont="1" applyFill="1" applyBorder="1" applyAlignment="1">
      <alignment horizontal="center" vertical="center" wrapText="1" readingOrder="2"/>
    </xf>
    <xf numFmtId="0" fontId="8" fillId="0" borderId="0" xfId="0" applyFont="1"/>
    <xf numFmtId="0" fontId="12" fillId="3" borderId="1" xfId="0" applyFont="1" applyFill="1" applyBorder="1" applyAlignment="1">
      <alignment horizontal="center" vertical="center" wrapText="1" readingOrder="2"/>
    </xf>
    <xf numFmtId="0" fontId="8" fillId="3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 wrapText="1" readingOrder="2"/>
    </xf>
    <xf numFmtId="0" fontId="8" fillId="7" borderId="1" xfId="0" applyFont="1" applyFill="1" applyBorder="1" applyAlignment="1">
      <alignment horizontal="center" vertical="center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</cellXfs>
  <cellStyles count="3">
    <cellStyle name="60% - Accent3" xfId="1" builtinId="40"/>
    <cellStyle name="60% - Accent5" xfId="2" builtinId="48"/>
    <cellStyle name="Normal" xfId="0" builtinId="0"/>
  </cellStyles>
  <dxfs count="12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A8" sqref="A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8" bestFit="1" customWidth="1"/>
    <col min="11" max="11" width="6.21875" bestFit="1" customWidth="1"/>
    <col min="12" max="12" width="7.5546875" bestFit="1" customWidth="1"/>
    <col min="13" max="13" width="5.33203125" bestFit="1" customWidth="1"/>
    <col min="14" max="14" width="4.33203125" bestFit="1" customWidth="1"/>
    <col min="15" max="15" width="10" bestFit="1" customWidth="1"/>
    <col min="16" max="16" width="6.21875" bestFit="1" customWidth="1"/>
    <col min="17" max="17" width="7.21875" bestFit="1" customWidth="1"/>
    <col min="18" max="18" width="6.88671875" bestFit="1" customWidth="1"/>
    <col min="19" max="19" width="8.109375" bestFit="1" customWidth="1"/>
  </cols>
  <sheetData>
    <row r="1" spans="1:19" x14ac:dyDescent="0.3">
      <c r="A1" s="27"/>
      <c r="B1" s="45"/>
      <c r="C1" s="45"/>
      <c r="D1" s="45"/>
      <c r="E1" s="45"/>
      <c r="F1" s="45"/>
      <c r="G1" s="46"/>
      <c r="H1" s="46"/>
    </row>
    <row r="2" spans="1:19" x14ac:dyDescent="0.3">
      <c r="A2" s="1" t="s">
        <v>0</v>
      </c>
      <c r="B2" s="47"/>
      <c r="C2" s="47"/>
      <c r="D2" s="47"/>
      <c r="E2" s="47"/>
      <c r="F2" s="47"/>
      <c r="G2" s="48"/>
      <c r="H2" s="4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x14ac:dyDescent="0.3">
      <c r="A3" s="29" t="s">
        <v>1</v>
      </c>
      <c r="B3" s="35"/>
      <c r="C3" s="35"/>
      <c r="D3" s="35"/>
      <c r="E3" s="35"/>
      <c r="F3" s="35"/>
      <c r="G3" s="39"/>
      <c r="H3" s="39"/>
      <c r="I3" s="28" t="s">
        <v>1</v>
      </c>
      <c r="J3" s="30" t="s">
        <v>67</v>
      </c>
      <c r="K3" s="30" t="s">
        <v>68</v>
      </c>
      <c r="L3" s="30" t="s">
        <v>69</v>
      </c>
      <c r="M3" s="30" t="s">
        <v>24</v>
      </c>
      <c r="N3" s="30" t="s">
        <v>43</v>
      </c>
      <c r="O3" s="30" t="s">
        <v>70</v>
      </c>
      <c r="P3" s="30" t="s">
        <v>48</v>
      </c>
      <c r="Q3" s="30" t="s">
        <v>71</v>
      </c>
      <c r="R3" s="30" t="s">
        <v>72</v>
      </c>
      <c r="S3" s="30" t="s">
        <v>74</v>
      </c>
    </row>
    <row r="4" spans="1:19" x14ac:dyDescent="0.3">
      <c r="A4" s="29" t="s">
        <v>7</v>
      </c>
      <c r="B4" s="35"/>
      <c r="C4" s="35"/>
      <c r="D4" s="35"/>
      <c r="E4" s="35"/>
      <c r="F4" s="35"/>
      <c r="G4" s="39"/>
      <c r="H4" s="39"/>
      <c r="I4" s="28" t="s">
        <v>7</v>
      </c>
      <c r="J4" s="31" t="s">
        <v>21</v>
      </c>
      <c r="K4" s="31" cm="1">
        <f t="array" ref="K4">_xlfn.LET(
  _xlpm.raw, _xlfn.TEXTSPLIT(_xlfn.TEXTJOIN(",",TRUE, B$11:F$11, B$46:F$46, B$81:F$81, B$116:F$116, B$151:F$151), ","),
  _xlpm.tokens, _xlfn._xlws.FILTER(TRIM(_xlpm.raw), TRIM(_xlpm.raw)&lt;&gt;""),
  IFERROR(SUMPRODUCT(--(_xlpm.tokens=$J4)), 0)
)</f>
        <v>0</v>
      </c>
      <c r="L4" s="31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4" s="31" cm="1">
        <f t="array" ref="M4">_xlfn.LET(
  _xlpm.raw, _xlfn.TEXTSPLIT(_xlfn.TEXTJOIN(",",TRUE, B$12:F$12, B$47:F$47, B$82:F$82, B$117:F$117, B$152:F$152), ","),
  _xlpm.tokens, _xlfn._xlws.FILTER(TRIM(_xlpm.raw), TRIM(_xlpm.raw)&lt;&gt;""),
  IFERROR(SUMPRODUCT(--(_xlpm.tokens=$J4)), 0)
)</f>
        <v>0</v>
      </c>
      <c r="N4" s="31" cm="1">
        <f t="array" ref="N4">_xlfn.LET(
  _xlpm.raw, _xlfn.TEXTSPLIT(_xlfn.TEXTJOIN(",",TRUE, B$28:F$28, B$63:F$63, B$98:F$98, B$133:F$133, B$168:F$168), ","),
  _xlpm.tokens, _xlfn._xlws.FILTER(TRIM(_xlpm.raw), TRIM(_xlpm.raw)&lt;&gt;""),
  IFERROR(SUMPRODUCT(--(_xlpm.tokens=$J4)), 0)
)</f>
        <v>0</v>
      </c>
      <c r="O4" s="31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1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1"/>
      <c r="R4" s="32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2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29" t="s">
        <v>8</v>
      </c>
      <c r="B5" s="35"/>
      <c r="C5" s="35"/>
      <c r="D5" s="35"/>
      <c r="E5" s="35"/>
      <c r="F5" s="35"/>
      <c r="G5" s="39"/>
      <c r="H5" s="39"/>
      <c r="I5" s="28" t="s">
        <v>8</v>
      </c>
      <c r="J5" s="31" t="s">
        <v>2</v>
      </c>
      <c r="K5" s="31" cm="1">
        <f t="array" ref="K5">_xlfn.LET(
  _xlpm.raw, _xlfn.TEXTSPLIT(_xlfn.TEXTJOIN(",",TRUE, B$11:F$11, B$46:F$46, B$81:F$81, B$116:F$116, B$151:F$151), ","),
  _xlpm.tokens, _xlfn._xlws.FILTER(TRIM(_xlpm.raw), TRIM(_xlpm.raw)&lt;&gt;""),
  IFERROR(SUMPRODUCT(--(_xlpm.tokens=$J5)), 0)
)</f>
        <v>0</v>
      </c>
      <c r="L5" s="31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5" s="31" cm="1">
        <f t="array" ref="M5">_xlfn.LET(
  _xlpm.raw, _xlfn.TEXTSPLIT(_xlfn.TEXTJOIN(",",TRUE, B$12:F$12, B$47:F$47, B$82:F$82, B$117:F$117, B$152:F$152), ","),
  _xlpm.tokens, _xlfn._xlws.FILTER(TRIM(_xlpm.raw), TRIM(_xlpm.raw)&lt;&gt;""),
  IFERROR(SUMPRODUCT(--(_xlpm.tokens=$J5)), 0)
)</f>
        <v>0</v>
      </c>
      <c r="N5" s="31" cm="1">
        <f t="array" ref="N5">_xlfn.LET(
  _xlpm.raw, _xlfn.TEXTSPLIT(_xlfn.TEXTJOIN(",",TRUE, B$28:F$28, B$63:F$63, B$98:F$98, B$133:F$133, B$168:F$168), ","),
  _xlpm.tokens, _xlfn._xlws.FILTER(TRIM(_xlpm.raw), TRIM(_xlpm.raw)&lt;&gt;""),
  IFERROR(SUMPRODUCT(--(_xlpm.tokens=$J5)), 0)
)</f>
        <v>0</v>
      </c>
      <c r="O5" s="31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1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1"/>
      <c r="R5" s="32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2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29" t="s">
        <v>78</v>
      </c>
      <c r="B6" s="35"/>
      <c r="C6" s="35"/>
      <c r="D6" s="35"/>
      <c r="E6" s="35"/>
      <c r="F6" s="35"/>
      <c r="G6" s="39"/>
      <c r="H6" s="39"/>
      <c r="I6" s="28" t="s">
        <v>68</v>
      </c>
      <c r="J6" s="31" t="s">
        <v>4</v>
      </c>
      <c r="K6" s="31" cm="1">
        <f t="array" ref="K6">_xlfn.LET(
  _xlpm.raw, _xlfn.TEXTSPLIT(_xlfn.TEXTJOIN(",",TRUE, B$11:F$11, B$46:F$46, B$81:F$81, B$116:F$116, B$151:F$151), ","),
  _xlpm.tokens, _xlfn._xlws.FILTER(TRIM(_xlpm.raw), TRIM(_xlpm.raw)&lt;&gt;""),
  IFERROR(SUMPRODUCT(--(_xlpm.tokens=$J6)), 0)
)</f>
        <v>0</v>
      </c>
      <c r="L6" s="31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6" s="31" cm="1">
        <f t="array" ref="M6">_xlfn.LET(
  _xlpm.raw, _xlfn.TEXTSPLIT(_xlfn.TEXTJOIN(",",TRUE, B$12:F$12, B$47:F$47, B$82:F$82, B$117:F$117, B$152:F$152), ","),
  _xlpm.tokens, _xlfn._xlws.FILTER(TRIM(_xlpm.raw), TRIM(_xlpm.raw)&lt;&gt;""),
  IFERROR(SUMPRODUCT(--(_xlpm.tokens=$J6)), 0)
)</f>
        <v>0</v>
      </c>
      <c r="N6" s="31" cm="1">
        <f t="array" ref="N6">_xlfn.LET(
  _xlpm.raw, _xlfn.TEXTSPLIT(_xlfn.TEXTJOIN(",",TRUE, B$28:F$28, B$63:F$63, B$98:F$98, B$133:F$133, B$168:F$168), ","),
  _xlpm.tokens, _xlfn._xlws.FILTER(TRIM(_xlpm.raw), TRIM(_xlpm.raw)&lt;&gt;""),
  IFERROR(SUMPRODUCT(--(_xlpm.tokens=$J6)), 0)
)</f>
        <v>0</v>
      </c>
      <c r="O6" s="31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1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1"/>
      <c r="R6" s="32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2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29" t="s">
        <v>12</v>
      </c>
      <c r="B7" s="41">
        <f>IFERROR(_xlfn.XLOOKUP(B$2, תורנויות!$B:$B, תורנויות!$D:$D, ""), "")</f>
        <v>0</v>
      </c>
      <c r="C7" s="41">
        <f>IFERROR(_xlfn.XLOOKUP(C$2, תורנויות!$B:$B, תורנויות!$D:$D, ""), "")</f>
        <v>0</v>
      </c>
      <c r="D7" s="41">
        <f>IFERROR(_xlfn.XLOOKUP(D$2, תורנויות!$B:$B, תורנויות!$D:$D, ""), "")</f>
        <v>0</v>
      </c>
      <c r="E7" s="41">
        <f>IFERROR(_xlfn.XLOOKUP(E$2, תורנויות!$B:$B, תורנויות!$D:$D, ""), "")</f>
        <v>0</v>
      </c>
      <c r="F7" s="41">
        <f>IFERROR(_xlfn.XLOOKUP(F$2, תורנויות!$B:$B, תורנויות!$D:$D, ""), "")</f>
        <v>0</v>
      </c>
      <c r="G7" s="42">
        <f>IFERROR(_xlfn.XLOOKUP(G$2, תורנויות!$B:$B, תורנויות!$D:$D, ""), "")</f>
        <v>0</v>
      </c>
      <c r="H7" s="42">
        <f>IFERROR(_xlfn.XLOOKUP(H$2, תורנויות!$B:$B, תורנויות!$D:$D, ""), "")</f>
        <v>0</v>
      </c>
      <c r="I7" s="28" t="s">
        <v>43</v>
      </c>
      <c r="J7" s="31" t="s">
        <v>5</v>
      </c>
      <c r="K7" s="31" cm="1">
        <f t="array" ref="K7">_xlfn.LET(
  _xlpm.raw, _xlfn.TEXTSPLIT(_xlfn.TEXTJOIN(",",TRUE, B$11:F$11, B$46:F$46, B$81:F$81, B$116:F$116, B$151:F$151), ","),
  _xlpm.tokens, _xlfn._xlws.FILTER(TRIM(_xlpm.raw), TRIM(_xlpm.raw)&lt;&gt;""),
  IFERROR(SUMPRODUCT(--(_xlpm.tokens=$J7)), 0)
)</f>
        <v>0</v>
      </c>
      <c r="L7" s="31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7" s="31" cm="1">
        <f t="array" ref="M7">_xlfn.LET(
  _xlpm.raw, _xlfn.TEXTSPLIT(_xlfn.TEXTJOIN(",",TRUE, B$12:F$12, B$47:F$47, B$82:F$82, B$117:F$117, B$152:F$152), ","),
  _xlpm.tokens, _xlfn._xlws.FILTER(TRIM(_xlpm.raw), TRIM(_xlpm.raw)&lt;&gt;""),
  IFERROR(SUMPRODUCT(--(_xlpm.tokens=$J7)), 0)
)</f>
        <v>0</v>
      </c>
      <c r="N7" s="31" cm="1">
        <f t="array" ref="N7">_xlfn.LET(
  _xlpm.raw, _xlfn.TEXTSPLIT(_xlfn.TEXTJOIN(",",TRUE, B$28:F$28, B$63:F$63, B$98:F$98, B$133:F$133, B$168:F$168), ","),
  _xlpm.tokens, _xlfn._xlws.FILTER(TRIM(_xlpm.raw), TRIM(_xlpm.raw)&lt;&gt;""),
  IFERROR(SUMPRODUCT(--(_xlpm.tokens=$J7)), 0)
)</f>
        <v>0</v>
      </c>
      <c r="O7" s="31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1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1"/>
      <c r="R7" s="32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2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29" t="s">
        <v>18</v>
      </c>
      <c r="B8" s="41">
        <f>IFERROR(_xlfn.XLOOKUP(B$2, תורנויות!$B:$B, תורנויות!$E:$E, ""), "")</f>
        <v>0</v>
      </c>
      <c r="C8" s="41">
        <f>IFERROR(_xlfn.XLOOKUP(C$2, תורנויות!$B:$B, תורנויות!$E:$E, ""), "")</f>
        <v>0</v>
      </c>
      <c r="D8" s="41">
        <f>IFERROR(_xlfn.XLOOKUP(D$2, תורנויות!$B:$B, תורנויות!$E:$E, ""), "")</f>
        <v>0</v>
      </c>
      <c r="E8" s="41">
        <f>IFERROR(_xlfn.XLOOKUP(E$2, תורנויות!$B:$B, תורנויות!$E:$E, ""), "")</f>
        <v>0</v>
      </c>
      <c r="F8" s="41">
        <f>IFERROR(_xlfn.XLOOKUP(F$2, תורנויות!$B:$B, תורנויות!$E:$E, ""), "")</f>
        <v>0</v>
      </c>
      <c r="G8" s="42">
        <f>IFERROR(_xlfn.XLOOKUP(G$2, תורנויות!$B:$B, תורנויות!$E:$E, ""), "")</f>
        <v>0</v>
      </c>
      <c r="H8" s="42">
        <f>IFERROR(_xlfn.XLOOKUP(H$2, תורנויות!$B:$B, תורנויות!$E:$E, ""), "")</f>
        <v>0</v>
      </c>
      <c r="I8" s="28" t="s">
        <v>76</v>
      </c>
      <c r="J8" s="31" t="s">
        <v>6</v>
      </c>
      <c r="K8" s="31" cm="1">
        <f t="array" ref="K8">_xlfn.LET(
  _xlpm.raw, _xlfn.TEXTSPLIT(_xlfn.TEXTJOIN(",",TRUE, B$11:F$11, B$46:F$46, B$81:F$81, B$116:F$116, B$151:F$151), ","),
  _xlpm.tokens, _xlfn._xlws.FILTER(TRIM(_xlpm.raw), TRIM(_xlpm.raw)&lt;&gt;""),
  IFERROR(SUMPRODUCT(--(_xlpm.tokens=$J8)), 0)
)</f>
        <v>0</v>
      </c>
      <c r="L8" s="31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8" s="31" cm="1">
        <f t="array" ref="M8">_xlfn.LET(
  _xlpm.raw, _xlfn.TEXTSPLIT(_xlfn.TEXTJOIN(",",TRUE, B$12:F$12, B$47:F$47, B$82:F$82, B$117:F$117, B$152:F$152), ","),
  _xlpm.tokens, _xlfn._xlws.FILTER(TRIM(_xlpm.raw), TRIM(_xlpm.raw)&lt;&gt;""),
  IFERROR(SUMPRODUCT(--(_xlpm.tokens=$J8)), 0)
)</f>
        <v>0</v>
      </c>
      <c r="N8" s="31" cm="1">
        <f t="array" ref="N8">_xlfn.LET(
  _xlpm.raw, _xlfn.TEXTSPLIT(_xlfn.TEXTJOIN(",",TRUE, B$28:F$28, B$63:F$63, B$98:F$98, B$133:F$133, B$168:F$168), ","),
  _xlpm.tokens, _xlfn._xlws.FILTER(TRIM(_xlpm.raw), TRIM(_xlpm.raw)&lt;&gt;""),
  IFERROR(SUMPRODUCT(--(_xlpm.tokens=$J8)), 0)
)</f>
        <v>0</v>
      </c>
      <c r="O8" s="31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1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1"/>
      <c r="R8" s="32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2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29" t="s">
        <v>20</v>
      </c>
      <c r="B9" s="35">
        <f>IFERROR(_xlfn.XLOOKUP(B$2, תורנויות!$B:$B, תורנויות!$F:$F, ""), "")</f>
        <v>0</v>
      </c>
      <c r="C9" s="35">
        <f>IFERROR(_xlfn.XLOOKUP(C$2, תורנויות!$B:$B, תורנויות!$F:$F, ""), "")</f>
        <v>0</v>
      </c>
      <c r="D9" s="35">
        <f>IFERROR(_xlfn.XLOOKUP(D$2, תורנויות!$B:$B, תורנויות!$F:$F, ""), "")</f>
        <v>0</v>
      </c>
      <c r="E9" s="35">
        <f>IFERROR(_xlfn.XLOOKUP(E$2, תורנויות!$B:$B, תורנויות!$F:$F, ""), "")</f>
        <v>0</v>
      </c>
      <c r="F9" s="35">
        <f>IFERROR(_xlfn.XLOOKUP(F$2, תורנויות!$B:$B, תורנויות!$F:$F, ""), "")</f>
        <v>0</v>
      </c>
      <c r="G9" s="39">
        <f>IFERROR(_xlfn.XLOOKUP(G$2, תורנויות!$B:$B, תורנויות!$F:$F, ""), "")</f>
        <v>0</v>
      </c>
      <c r="H9" s="39">
        <f>IFERROR(_xlfn.XLOOKUP(H$2, תורנויות!$B:$B, תורנויות!$F:$F, ""), "")</f>
        <v>0</v>
      </c>
      <c r="I9" s="28"/>
      <c r="J9" s="31" t="s">
        <v>34</v>
      </c>
      <c r="K9" s="31" cm="1">
        <f t="array" ref="K9">_xlfn.LET(
  _xlpm.raw, _xlfn.TEXTSPLIT(_xlfn.TEXTJOIN(",",TRUE, B$11:F$11, B$46:F$46, B$81:F$81, B$116:F$116, B$151:F$151), ","),
  _xlpm.tokens, _xlfn._xlws.FILTER(TRIM(_xlpm.raw), TRIM(_xlpm.raw)&lt;&gt;""),
  IFERROR(SUMPRODUCT(--(_xlpm.tokens=$J9)), 0)
)</f>
        <v>0</v>
      </c>
      <c r="L9" s="31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9" s="31" cm="1">
        <f t="array" ref="M9">_xlfn.LET(
  _xlpm.raw, _xlfn.TEXTSPLIT(_xlfn.TEXTJOIN(",",TRUE, B$12:F$12, B$47:F$47, B$82:F$82, B$117:F$117, B$152:F$152), ","),
  _xlpm.tokens, _xlfn._xlws.FILTER(TRIM(_xlpm.raw), TRIM(_xlpm.raw)&lt;&gt;""),
  IFERROR(SUMPRODUCT(--(_xlpm.tokens=$J9)), 0)
)</f>
        <v>0</v>
      </c>
      <c r="N9" s="31" cm="1">
        <f t="array" ref="N9">_xlfn.LET(
  _xlpm.raw, _xlfn.TEXTSPLIT(_xlfn.TEXTJOIN(",",TRUE, B$28:F$28, B$63:F$63, B$98:F$98, B$133:F$133, B$168:F$168), ","),
  _xlpm.tokens, _xlfn._xlws.FILTER(TRIM(_xlpm.raw), TRIM(_xlpm.raw)&lt;&gt;""),
  IFERROR(SUMPRODUCT(--(_xlpm.tokens=$J9)), 0)
)</f>
        <v>0</v>
      </c>
      <c r="O9" s="31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1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1"/>
      <c r="R9" s="32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2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29" t="s">
        <v>77</v>
      </c>
      <c r="B10" s="35"/>
      <c r="C10" s="35"/>
      <c r="D10" s="35"/>
      <c r="E10" s="35"/>
      <c r="F10" s="35"/>
      <c r="G10" s="39"/>
      <c r="H10" s="39"/>
      <c r="I10" s="28"/>
      <c r="J10" s="31" t="s">
        <v>3</v>
      </c>
      <c r="K10" s="31" cm="1">
        <f t="array" ref="K10">_xlfn.LET(
  _xlpm.raw, _xlfn.TEXTSPLIT(_xlfn.TEXTJOIN(",",TRUE, B$11:F$11, B$46:F$46, B$81:F$81, B$116:F$116, B$151:F$151), ","),
  _xlpm.tokens, _xlfn._xlws.FILTER(TRIM(_xlpm.raw), TRIM(_xlpm.raw)&lt;&gt;""),
  IFERROR(SUMPRODUCT(--(_xlpm.tokens=$J10)), 0)
)</f>
        <v>0</v>
      </c>
      <c r="L10" s="31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0" s="31" cm="1">
        <f t="array" ref="M10">_xlfn.LET(
  _xlpm.raw, _xlfn.TEXTSPLIT(_xlfn.TEXTJOIN(",",TRUE, B$12:F$12, B$47:F$47, B$82:F$82, B$117:F$117, B$152:F$152), ","),
  _xlpm.tokens, _xlfn._xlws.FILTER(TRIM(_xlpm.raw), TRIM(_xlpm.raw)&lt;&gt;""),
  IFERROR(SUMPRODUCT(--(_xlpm.tokens=$J10)), 0)
)</f>
        <v>0</v>
      </c>
      <c r="N10" s="31" cm="1">
        <f t="array" ref="N10">_xlfn.LET(
  _xlpm.raw, _xlfn.TEXTSPLIT(_xlfn.TEXTJOIN(",",TRUE, B$28:F$28, B$63:F$63, B$98:F$98, B$133:F$133, B$168:F$168), ","),
  _xlpm.tokens, _xlfn._xlws.FILTER(TRIM(_xlpm.raw), TRIM(_xlpm.raw)&lt;&gt;""),
  IFERROR(SUMPRODUCT(--(_xlpm.tokens=$J10)), 0)
)</f>
        <v>0</v>
      </c>
      <c r="O10" s="31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1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1"/>
      <c r="R10" s="32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2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29" t="s">
        <v>22</v>
      </c>
      <c r="B11" s="35"/>
      <c r="C11" s="35"/>
      <c r="D11" s="35"/>
      <c r="E11" s="35"/>
      <c r="F11" s="35"/>
      <c r="G11" s="39"/>
      <c r="H11" s="39"/>
      <c r="I11" s="28"/>
      <c r="J11" s="31" t="s">
        <v>32</v>
      </c>
      <c r="K11" s="31" cm="1">
        <f t="array" ref="K11">_xlfn.LET(
  _xlpm.raw, _xlfn.TEXTSPLIT(_xlfn.TEXTJOIN(",",TRUE, B$11:F$11, B$46:F$46, B$81:F$81, B$116:F$116, B$151:F$151), ","),
  _xlpm.tokens, _xlfn._xlws.FILTER(TRIM(_xlpm.raw), TRIM(_xlpm.raw)&lt;&gt;""),
  IFERROR(SUMPRODUCT(--(_xlpm.tokens=$J11)), 0)
)</f>
        <v>0</v>
      </c>
      <c r="L11" s="31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1" s="31" cm="1">
        <f t="array" ref="M11">_xlfn.LET(
  _xlpm.raw, _xlfn.TEXTSPLIT(_xlfn.TEXTJOIN(",",TRUE, B$12:F$12, B$47:F$47, B$82:F$82, B$117:F$117, B$152:F$152), ","),
  _xlpm.tokens, _xlfn._xlws.FILTER(TRIM(_xlpm.raw), TRIM(_xlpm.raw)&lt;&gt;""),
  IFERROR(SUMPRODUCT(--(_xlpm.tokens=$J11)), 0)
)</f>
        <v>0</v>
      </c>
      <c r="N11" s="31" cm="1">
        <f t="array" ref="N11">_xlfn.LET(
  _xlpm.raw, _xlfn.TEXTSPLIT(_xlfn.TEXTJOIN(",",TRUE, B$28:F$28, B$63:F$63, B$98:F$98, B$133:F$133, B$168:F$168), ","),
  _xlpm.tokens, _xlfn._xlws.FILTER(TRIM(_xlpm.raw), TRIM(_xlpm.raw)&lt;&gt;""),
  IFERROR(SUMPRODUCT(--(_xlpm.tokens=$J11)), 0)
)</f>
        <v>0</v>
      </c>
      <c r="O11" s="31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1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1"/>
      <c r="R11" s="32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2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29" t="s">
        <v>24</v>
      </c>
      <c r="B12" s="35"/>
      <c r="C12" s="35"/>
      <c r="D12" s="35"/>
      <c r="E12" s="36"/>
      <c r="F12" s="35"/>
      <c r="G12" s="39"/>
      <c r="H12" s="39"/>
      <c r="I12" s="28"/>
      <c r="J12" s="33" t="s">
        <v>23</v>
      </c>
      <c r="K12" s="33" cm="1">
        <f t="array" ref="K12">_xlfn.LET(
  _xlpm.raw, _xlfn.TEXTSPLIT(_xlfn.TEXTJOIN(",",TRUE, B$11:F$11, B$46:F$46, B$81:F$81, B$116:F$116, B$151:F$151), ","),
  _xlpm.tokens, _xlfn._xlws.FILTER(TRIM(_xlpm.raw), TRIM(_xlpm.raw)&lt;&gt;""),
  IFERROR(SUMPRODUCT(--(_xlpm.tokens=$J12)), 0)
)</f>
        <v>0</v>
      </c>
      <c r="L12" s="33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2" s="33" cm="1">
        <f t="array" ref="M12">_xlfn.LET(
  _xlpm.raw, _xlfn.TEXTSPLIT(_xlfn.TEXTJOIN(",",TRUE, B$12:F$12, B$47:F$47, B$82:F$82, B$117:F$117, B$152:F$152), ","),
  _xlpm.tokens, _xlfn._xlws.FILTER(TRIM(_xlpm.raw), TRIM(_xlpm.raw)&lt;&gt;""),
  IFERROR(SUMPRODUCT(--(_xlpm.tokens=$J12)), 0)
)</f>
        <v>0</v>
      </c>
      <c r="N12" s="33" cm="1">
        <f t="array" ref="N12">_xlfn.LET(
  _xlpm.raw, _xlfn.TEXTSPLIT(_xlfn.TEXTJOIN(",",TRUE, B$28:F$28, B$63:F$63, B$98:F$98, B$133:F$133, B$168:F$168), ","),
  _xlpm.tokens, _xlfn._xlws.FILTER(TRIM(_xlpm.raw), TRIM(_xlpm.raw)&lt;&gt;""),
  IFERROR(SUMPRODUCT(--(_xlpm.tokens=$J12)), 0)
)</f>
        <v>0</v>
      </c>
      <c r="O12" s="33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3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3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3"/>
      <c r="S12" s="33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29" t="s">
        <v>25</v>
      </c>
      <c r="B13" s="35"/>
      <c r="C13" s="35"/>
      <c r="D13" s="35"/>
      <c r="E13" s="35"/>
      <c r="F13" s="35"/>
      <c r="G13" s="39"/>
      <c r="H13" s="39"/>
      <c r="I13" s="28"/>
      <c r="J13" s="33" t="s">
        <v>11</v>
      </c>
      <c r="K13" s="33" cm="1">
        <f t="array" ref="K13">_xlfn.LET(
  _xlpm.raw, _xlfn.TEXTSPLIT(_xlfn.TEXTJOIN(",",TRUE, B$11:F$11, B$46:F$46, B$81:F$81, B$116:F$116, B$151:F$151), ","),
  _xlpm.tokens, _xlfn._xlws.FILTER(TRIM(_xlpm.raw), TRIM(_xlpm.raw)&lt;&gt;""),
  IFERROR(SUMPRODUCT(--(_xlpm.tokens=$J13)), 0)
)</f>
        <v>0</v>
      </c>
      <c r="L13" s="33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3" s="33" cm="1">
        <f t="array" ref="M13">_xlfn.LET(
  _xlpm.raw, _xlfn.TEXTSPLIT(_xlfn.TEXTJOIN(",",TRUE, B$12:F$12, B$47:F$47, B$82:F$82, B$117:F$117, B$152:F$152), ","),
  _xlpm.tokens, _xlfn._xlws.FILTER(TRIM(_xlpm.raw), TRIM(_xlpm.raw)&lt;&gt;""),
  IFERROR(SUMPRODUCT(--(_xlpm.tokens=$J13)), 0)
)</f>
        <v>0</v>
      </c>
      <c r="N13" s="33" cm="1">
        <f t="array" ref="N13">_xlfn.LET(
  _xlpm.raw, _xlfn.TEXTSPLIT(_xlfn.TEXTJOIN(",",TRUE, B$28:F$28, B$63:F$63, B$98:F$98, B$133:F$133, B$168:F$168), ","),
  _xlpm.tokens, _xlfn._xlws.FILTER(TRIM(_xlpm.raw), TRIM(_xlpm.raw)&lt;&gt;""),
  IFERROR(SUMPRODUCT(--(_xlpm.tokens=$J13)), 0)
)</f>
        <v>0</v>
      </c>
      <c r="O13" s="33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3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3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3"/>
      <c r="S13" s="33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29" t="s">
        <v>73</v>
      </c>
      <c r="B14" s="35"/>
      <c r="C14" s="35"/>
      <c r="D14" s="35"/>
      <c r="E14" s="35"/>
      <c r="F14" s="35"/>
      <c r="G14" s="39"/>
      <c r="H14" s="39"/>
      <c r="I14" s="28"/>
      <c r="J14" s="33" t="s">
        <v>14</v>
      </c>
      <c r="K14" s="33" cm="1">
        <f t="array" ref="K14">_xlfn.LET(
  _xlpm.raw, _xlfn.TEXTSPLIT(_xlfn.TEXTJOIN(",",TRUE, B$11:F$11, B$46:F$46, B$81:F$81, B$116:F$116, B$151:F$151), ","),
  _xlpm.tokens, _xlfn._xlws.FILTER(TRIM(_xlpm.raw), TRIM(_xlpm.raw)&lt;&gt;""),
  IFERROR(SUMPRODUCT(--(_xlpm.tokens=$J14)), 0)
)</f>
        <v>0</v>
      </c>
      <c r="L14" s="33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4" s="33" cm="1">
        <f t="array" ref="M14">_xlfn.LET(
  _xlpm.raw, _xlfn.TEXTSPLIT(_xlfn.TEXTJOIN(",",TRUE, B$12:F$12, B$47:F$47, B$82:F$82, B$117:F$117, B$152:F$152), ","),
  _xlpm.tokens, _xlfn._xlws.FILTER(TRIM(_xlpm.raw), TRIM(_xlpm.raw)&lt;&gt;""),
  IFERROR(SUMPRODUCT(--(_xlpm.tokens=$J14)), 0)
)</f>
        <v>0</v>
      </c>
      <c r="N14" s="33" cm="1">
        <f t="array" ref="N14">_xlfn.LET(
  _xlpm.raw, _xlfn.TEXTSPLIT(_xlfn.TEXTJOIN(",",TRUE, B$28:F$28, B$63:F$63, B$98:F$98, B$133:F$133, B$168:F$168), ","),
  _xlpm.tokens, _xlfn._xlws.FILTER(TRIM(_xlpm.raw), TRIM(_xlpm.raw)&lt;&gt;""),
  IFERROR(SUMPRODUCT(--(_xlpm.tokens=$J14)), 0)
)</f>
        <v>0</v>
      </c>
      <c r="O14" s="33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3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3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3"/>
      <c r="S14" s="33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29" t="s">
        <v>26</v>
      </c>
      <c r="B15" s="35"/>
      <c r="C15" s="35"/>
      <c r="D15" s="35"/>
      <c r="E15" s="35"/>
      <c r="F15" s="35"/>
      <c r="G15" s="39"/>
      <c r="H15" s="39"/>
      <c r="I15" s="28"/>
      <c r="J15" s="33" t="s">
        <v>17</v>
      </c>
      <c r="K15" s="33" cm="1">
        <f t="array" ref="K15">_xlfn.LET(
  _xlpm.raw, _xlfn.TEXTSPLIT(_xlfn.TEXTJOIN(",",TRUE, B$11:F$11, B$46:F$46, B$81:F$81, B$116:F$116, B$151:F$151), ","),
  _xlpm.tokens, _xlfn._xlws.FILTER(TRIM(_xlpm.raw), TRIM(_xlpm.raw)&lt;&gt;""),
  IFERROR(SUMPRODUCT(--(_xlpm.tokens=$J15)), 0)
)</f>
        <v>0</v>
      </c>
      <c r="L15" s="33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5" s="33" cm="1">
        <f t="array" ref="M15">_xlfn.LET(
  _xlpm.raw, _xlfn.TEXTSPLIT(_xlfn.TEXTJOIN(",",TRUE, B$12:F$12, B$47:F$47, B$82:F$82, B$117:F$117, B$152:F$152), ","),
  _xlpm.tokens, _xlfn._xlws.FILTER(TRIM(_xlpm.raw), TRIM(_xlpm.raw)&lt;&gt;""),
  IFERROR(SUMPRODUCT(--(_xlpm.tokens=$J15)), 0)
)</f>
        <v>0</v>
      </c>
      <c r="N15" s="33" cm="1">
        <f t="array" ref="N15">_xlfn.LET(
  _xlpm.raw, _xlfn.TEXTSPLIT(_xlfn.TEXTJOIN(",",TRUE, B$28:F$28, B$63:F$63, B$98:F$98, B$133:F$133, B$168:F$168), ","),
  _xlpm.tokens, _xlfn._xlws.FILTER(TRIM(_xlpm.raw), TRIM(_xlpm.raw)&lt;&gt;""),
  IFERROR(SUMPRODUCT(--(_xlpm.tokens=$J15)), 0)
)</f>
        <v>0</v>
      </c>
      <c r="O15" s="33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3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3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3"/>
      <c r="S15" s="33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29" t="s">
        <v>27</v>
      </c>
      <c r="B16" s="35"/>
      <c r="C16" s="35"/>
      <c r="D16" s="35"/>
      <c r="E16" s="35"/>
      <c r="F16" s="35"/>
      <c r="G16" s="39"/>
      <c r="H16" s="39"/>
      <c r="I16" s="28"/>
      <c r="J16" s="33" t="s">
        <v>19</v>
      </c>
      <c r="K16" s="33" cm="1">
        <f t="array" ref="K16">_xlfn.LET(
  _xlpm.raw, _xlfn.TEXTSPLIT(_xlfn.TEXTJOIN(",",TRUE, B$11:F$11, B$46:F$46, B$81:F$81, B$116:F$116, B$151:F$151), ","),
  _xlpm.tokens, _xlfn._xlws.FILTER(TRIM(_xlpm.raw), TRIM(_xlpm.raw)&lt;&gt;""),
  IFERROR(SUMPRODUCT(--(_xlpm.tokens=$J16)), 0)
)</f>
        <v>0</v>
      </c>
      <c r="L16" s="33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6" s="33" cm="1">
        <f t="array" ref="M16">_xlfn.LET(
  _xlpm.raw, _xlfn.TEXTSPLIT(_xlfn.TEXTJOIN(",",TRUE, B$12:F$12, B$47:F$47, B$82:F$82, B$117:F$117, B$152:F$152), ","),
  _xlpm.tokens, _xlfn._xlws.FILTER(TRIM(_xlpm.raw), TRIM(_xlpm.raw)&lt;&gt;""),
  IFERROR(SUMPRODUCT(--(_xlpm.tokens=$J16)), 0)
)</f>
        <v>0</v>
      </c>
      <c r="N16" s="33" cm="1">
        <f t="array" ref="N16">_xlfn.LET(
  _xlpm.raw, _xlfn.TEXTSPLIT(_xlfn.TEXTJOIN(",",TRUE, B$28:F$28, B$63:F$63, B$98:F$98, B$133:F$133, B$168:F$168), ","),
  _xlpm.tokens, _xlfn._xlws.FILTER(TRIM(_xlpm.raw), TRIM(_xlpm.raw)&lt;&gt;""),
  IFERROR(SUMPRODUCT(--(_xlpm.tokens=$J16)), 0)
)</f>
        <v>0</v>
      </c>
      <c r="O16" s="33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3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3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3"/>
      <c r="S16" s="33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29" t="s">
        <v>28</v>
      </c>
      <c r="B17" s="35"/>
      <c r="C17" s="35"/>
      <c r="D17" s="35"/>
      <c r="E17" s="35"/>
      <c r="F17" s="35"/>
      <c r="G17" s="39"/>
      <c r="H17" s="39"/>
      <c r="I17" s="28"/>
      <c r="J17" s="33" t="s">
        <v>13</v>
      </c>
      <c r="K17" s="33" cm="1">
        <f t="array" ref="K17">_xlfn.LET(
  _xlpm.raw, _xlfn.TEXTSPLIT(_xlfn.TEXTJOIN(",",TRUE, B$11:F$11, B$46:F$46, B$81:F$81, B$116:F$116, B$151:F$151), ","),
  _xlpm.tokens, _xlfn._xlws.FILTER(TRIM(_xlpm.raw), TRIM(_xlpm.raw)&lt;&gt;""),
  IFERROR(SUMPRODUCT(--(_xlpm.tokens=$J17)), 0)
)</f>
        <v>0</v>
      </c>
      <c r="L17" s="33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7" s="33" cm="1">
        <f t="array" ref="M17">_xlfn.LET(
  _xlpm.raw, _xlfn.TEXTSPLIT(_xlfn.TEXTJOIN(",",TRUE, B$12:F$12, B$47:F$47, B$82:F$82, B$117:F$117, B$152:F$152), ","),
  _xlpm.tokens, _xlfn._xlws.FILTER(TRIM(_xlpm.raw), TRIM(_xlpm.raw)&lt;&gt;""),
  IFERROR(SUMPRODUCT(--(_xlpm.tokens=$J17)), 0)
)</f>
        <v>0</v>
      </c>
      <c r="N17" s="33" cm="1">
        <f t="array" ref="N17">_xlfn.LET(
  _xlpm.raw, _xlfn.TEXTSPLIT(_xlfn.TEXTJOIN(",",TRUE, B$28:F$28, B$63:F$63, B$98:F$98, B$133:F$133, B$168:F$168), ","),
  _xlpm.tokens, _xlfn._xlws.FILTER(TRIM(_xlpm.raw), TRIM(_xlpm.raw)&lt;&gt;""),
  IFERROR(SUMPRODUCT(--(_xlpm.tokens=$J17)), 0)
)</f>
        <v>0</v>
      </c>
      <c r="O17" s="33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3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3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3"/>
      <c r="S17" s="33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29" t="s">
        <v>29</v>
      </c>
      <c r="B18" s="35"/>
      <c r="C18" s="35"/>
      <c r="D18" s="35"/>
      <c r="E18" s="35"/>
      <c r="F18" s="35"/>
      <c r="G18" s="39"/>
      <c r="H18" s="39"/>
      <c r="I18" s="28"/>
      <c r="J18" s="33" t="s">
        <v>50</v>
      </c>
      <c r="K18" s="33" cm="1">
        <f t="array" ref="K18">_xlfn.LET(
  _xlpm.raw, _xlfn.TEXTSPLIT(_xlfn.TEXTJOIN(",",TRUE, B$11:F$11, B$46:F$46, B$81:F$81, B$116:F$116, B$151:F$151), ","),
  _xlpm.tokens, _xlfn._xlws.FILTER(TRIM(_xlpm.raw), TRIM(_xlpm.raw)&lt;&gt;""),
  IFERROR(SUMPRODUCT(--(_xlpm.tokens=$J18)), 0)
)</f>
        <v>0</v>
      </c>
      <c r="L18" s="33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8" s="33" cm="1">
        <f t="array" ref="M18">_xlfn.LET(
  _xlpm.raw, _xlfn.TEXTSPLIT(_xlfn.TEXTJOIN(",",TRUE, B$12:F$12, B$47:F$47, B$82:F$82, B$117:F$117, B$152:F$152), ","),
  _xlpm.tokens, _xlfn._xlws.FILTER(TRIM(_xlpm.raw), TRIM(_xlpm.raw)&lt;&gt;""),
  IFERROR(SUMPRODUCT(--(_xlpm.tokens=$J18)), 0)
)</f>
        <v>0</v>
      </c>
      <c r="N18" s="33" cm="1">
        <f t="array" ref="N18">_xlfn.LET(
  _xlpm.raw, _xlfn.TEXTSPLIT(_xlfn.TEXTJOIN(",",TRUE, B$28:F$28, B$63:F$63, B$98:F$98, B$133:F$133, B$168:F$168), ","),
  _xlpm.tokens, _xlfn._xlws.FILTER(TRIM(_xlpm.raw), TRIM(_xlpm.raw)&lt;&gt;""),
  IFERROR(SUMPRODUCT(--(_xlpm.tokens=$J18)), 0)
)</f>
        <v>0</v>
      </c>
      <c r="O18" s="33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3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3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3"/>
      <c r="S18" s="33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29" t="s">
        <v>30</v>
      </c>
      <c r="B19" s="35"/>
      <c r="C19" s="35"/>
      <c r="D19" s="35"/>
      <c r="E19" s="35"/>
      <c r="F19" s="35"/>
      <c r="G19" s="39"/>
      <c r="H19" s="39"/>
      <c r="I19" s="28"/>
      <c r="J19" s="33" t="s">
        <v>9</v>
      </c>
      <c r="K19" s="33" cm="1">
        <f t="array" ref="K19">_xlfn.LET(
  _xlpm.raw, _xlfn.TEXTSPLIT(_xlfn.TEXTJOIN(",",TRUE, B$11:F$11, B$46:F$46, B$81:F$81, B$116:F$116, B$151:F$151), ","),
  _xlpm.tokens, _xlfn._xlws.FILTER(TRIM(_xlpm.raw), TRIM(_xlpm.raw)&lt;&gt;""),
  IFERROR(SUMPRODUCT(--(_xlpm.tokens=$J19)), 0)
)</f>
        <v>0</v>
      </c>
      <c r="L19" s="33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9" s="33" cm="1">
        <f t="array" ref="M19">_xlfn.LET(
  _xlpm.raw, _xlfn.TEXTSPLIT(_xlfn.TEXTJOIN(",",TRUE, B$12:F$12, B$47:F$47, B$82:F$82, B$117:F$117, B$152:F$152), ","),
  _xlpm.tokens, _xlfn._xlws.FILTER(TRIM(_xlpm.raw), TRIM(_xlpm.raw)&lt;&gt;""),
  IFERROR(SUMPRODUCT(--(_xlpm.tokens=$J19)), 0)
)</f>
        <v>0</v>
      </c>
      <c r="N19" s="33" cm="1">
        <f t="array" ref="N19">_xlfn.LET(
  _xlpm.raw, _xlfn.TEXTSPLIT(_xlfn.TEXTJOIN(",",TRUE, B$28:F$28, B$63:F$63, B$98:F$98, B$133:F$133, B$168:F$168), ","),
  _xlpm.tokens, _xlfn._xlws.FILTER(TRIM(_xlpm.raw), TRIM(_xlpm.raw)&lt;&gt;""),
  IFERROR(SUMPRODUCT(--(_xlpm.tokens=$J19)), 0)
)</f>
        <v>0</v>
      </c>
      <c r="O19" s="33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3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3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3"/>
      <c r="S19" s="33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29" t="s">
        <v>31</v>
      </c>
      <c r="B20" s="35"/>
      <c r="C20" s="35"/>
      <c r="D20" s="35"/>
      <c r="E20" s="35"/>
      <c r="F20" s="35"/>
      <c r="G20" s="39"/>
      <c r="H20" s="39"/>
      <c r="I20" s="28"/>
      <c r="J20" s="33" t="s">
        <v>15</v>
      </c>
      <c r="K20" s="33" cm="1">
        <f t="array" ref="K20">_xlfn.LET(
  _xlpm.raw, _xlfn.TEXTSPLIT(_xlfn.TEXTJOIN(",",TRUE, B$11:F$11, B$46:F$46, B$81:F$81, B$116:F$116, B$151:F$151), ","),
  _xlpm.tokens, _xlfn._xlws.FILTER(TRIM(_xlpm.raw), TRIM(_xlpm.raw)&lt;&gt;""),
  IFERROR(SUMPRODUCT(--(_xlpm.tokens=$J20)), 0)
)</f>
        <v>0</v>
      </c>
      <c r="L20" s="33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0" s="33" cm="1">
        <f t="array" ref="M20">_xlfn.LET(
  _xlpm.raw, _xlfn.TEXTSPLIT(_xlfn.TEXTJOIN(",",TRUE, B$12:F$12, B$47:F$47, B$82:F$82, B$117:F$117, B$152:F$152), ","),
  _xlpm.tokens, _xlfn._xlws.FILTER(TRIM(_xlpm.raw), TRIM(_xlpm.raw)&lt;&gt;""),
  IFERROR(SUMPRODUCT(--(_xlpm.tokens=$J20)), 0)
)</f>
        <v>0</v>
      </c>
      <c r="N20" s="33" cm="1">
        <f t="array" ref="N20">_xlfn.LET(
  _xlpm.raw, _xlfn.TEXTSPLIT(_xlfn.TEXTJOIN(",",TRUE, B$28:F$28, B$63:F$63, B$98:F$98, B$133:F$133, B$168:F$168), ","),
  _xlpm.tokens, _xlfn._xlws.FILTER(TRIM(_xlpm.raw), TRIM(_xlpm.raw)&lt;&gt;""),
  IFERROR(SUMPRODUCT(--(_xlpm.tokens=$J20)), 0)
)</f>
        <v>0</v>
      </c>
      <c r="O20" s="33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3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3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3"/>
      <c r="S20" s="33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29" t="s">
        <v>33</v>
      </c>
      <c r="B21" s="35"/>
      <c r="C21" s="35"/>
      <c r="D21" s="35"/>
      <c r="E21" s="35"/>
      <c r="F21" s="35"/>
      <c r="G21" s="39"/>
      <c r="H21" s="39"/>
      <c r="I21" s="28"/>
      <c r="J21" s="33" t="s">
        <v>10</v>
      </c>
      <c r="K21" s="33" cm="1">
        <f t="array" ref="K21">_xlfn.LET(
  _xlpm.raw, _xlfn.TEXTSPLIT(_xlfn.TEXTJOIN(",",TRUE, B$11:F$11, B$46:F$46, B$81:F$81, B$116:F$116, B$151:F$151), ","),
  _xlpm.tokens, _xlfn._xlws.FILTER(TRIM(_xlpm.raw), TRIM(_xlpm.raw)&lt;&gt;""),
  IFERROR(SUMPRODUCT(--(_xlpm.tokens=$J21)), 0)
)</f>
        <v>0</v>
      </c>
      <c r="L21" s="33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1" s="33" cm="1">
        <f t="array" ref="M21">_xlfn.LET(
  _xlpm.raw, _xlfn.TEXTSPLIT(_xlfn.TEXTJOIN(",",TRUE, B$12:F$12, B$47:F$47, B$82:F$82, B$117:F$117, B$152:F$152), ","),
  _xlpm.tokens, _xlfn._xlws.FILTER(TRIM(_xlpm.raw), TRIM(_xlpm.raw)&lt;&gt;""),
  IFERROR(SUMPRODUCT(--(_xlpm.tokens=$J21)), 0)
)</f>
        <v>0</v>
      </c>
      <c r="N21" s="33" cm="1">
        <f t="array" ref="N21">_xlfn.LET(
  _xlpm.raw, _xlfn.TEXTSPLIT(_xlfn.TEXTJOIN(",",TRUE, B$28:F$28, B$63:F$63, B$98:F$98, B$133:F$133, B$168:F$168), ","),
  _xlpm.tokens, _xlfn._xlws.FILTER(TRIM(_xlpm.raw), TRIM(_xlpm.raw)&lt;&gt;""),
  IFERROR(SUMPRODUCT(--(_xlpm.tokens=$J21)), 0)
)</f>
        <v>0</v>
      </c>
      <c r="O21" s="33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3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3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3"/>
      <c r="S21" s="33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29" t="s">
        <v>35</v>
      </c>
      <c r="B22" s="35"/>
      <c r="C22" s="35"/>
      <c r="D22" s="35"/>
      <c r="E22" s="35"/>
      <c r="F22" s="35"/>
      <c r="G22" s="39"/>
      <c r="H22" s="39"/>
      <c r="I22" s="28"/>
      <c r="J22" s="33" t="s">
        <v>16</v>
      </c>
      <c r="K22" s="33" cm="1">
        <f t="array" ref="K22">_xlfn.LET(
  _xlpm.raw, _xlfn.TEXTSPLIT(_xlfn.TEXTJOIN(",",TRUE, B$11:F$11, B$46:F$46, B$81:F$81, B$116:F$116, B$151:F$151), ","),
  _xlpm.tokens, _xlfn._xlws.FILTER(TRIM(_xlpm.raw), TRIM(_xlpm.raw)&lt;&gt;""),
  IFERROR(SUMPRODUCT(--(_xlpm.tokens=$J22)), 0)
)</f>
        <v>0</v>
      </c>
      <c r="L22" s="33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2" s="33" cm="1">
        <f t="array" ref="M22">_xlfn.LET(
  _xlpm.raw, _xlfn.TEXTSPLIT(_xlfn.TEXTJOIN(",",TRUE, B$12:F$12, B$47:F$47, B$82:F$82, B$117:F$117, B$152:F$152), ","),
  _xlpm.tokens, _xlfn._xlws.FILTER(TRIM(_xlpm.raw), TRIM(_xlpm.raw)&lt;&gt;""),
  IFERROR(SUMPRODUCT(--(_xlpm.tokens=$J22)), 0)
)</f>
        <v>0</v>
      </c>
      <c r="N22" s="33" cm="1">
        <f t="array" ref="N22">_xlfn.LET(
  _xlpm.raw, _xlfn.TEXTSPLIT(_xlfn.TEXTJOIN(",",TRUE, B$28:F$28, B$63:F$63, B$98:F$98, B$133:F$133, B$168:F$168), ","),
  _xlpm.tokens, _xlfn._xlws.FILTER(TRIM(_xlpm.raw), TRIM(_xlpm.raw)&lt;&gt;""),
  IFERROR(SUMPRODUCT(--(_xlpm.tokens=$J22)), 0)
)</f>
        <v>0</v>
      </c>
      <c r="O22" s="33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3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3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3"/>
      <c r="S22" s="33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29" t="s">
        <v>37</v>
      </c>
      <c r="B23" s="35"/>
      <c r="C23" s="35"/>
      <c r="D23" s="35"/>
      <c r="E23" s="35"/>
      <c r="F23" s="35"/>
      <c r="G23" s="39"/>
      <c r="H23" s="39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3">
      <c r="A24" s="29" t="s">
        <v>38</v>
      </c>
      <c r="B24" s="35"/>
      <c r="C24" s="35"/>
      <c r="D24" s="35"/>
      <c r="E24" s="35"/>
      <c r="F24" s="35"/>
      <c r="G24" s="39"/>
      <c r="H24" s="3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3">
      <c r="A25" s="29" t="s">
        <v>39</v>
      </c>
      <c r="B25" s="35"/>
      <c r="C25" s="35"/>
      <c r="D25" s="35"/>
      <c r="E25" s="35"/>
      <c r="F25" s="35"/>
      <c r="G25" s="39"/>
      <c r="H25" s="39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3">
      <c r="A26" s="29" t="s">
        <v>40</v>
      </c>
      <c r="B26" s="35"/>
      <c r="C26" s="35"/>
      <c r="D26" s="35"/>
      <c r="E26" s="35"/>
      <c r="F26" s="35"/>
      <c r="G26" s="39"/>
      <c r="H26" s="3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3">
      <c r="A27" s="29" t="s">
        <v>41</v>
      </c>
      <c r="B27" s="35"/>
      <c r="C27" s="35"/>
      <c r="D27" s="35"/>
      <c r="E27" s="35"/>
      <c r="F27" s="35"/>
      <c r="G27" s="39"/>
      <c r="H27" s="39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3">
      <c r="A28" s="29" t="s">
        <v>43</v>
      </c>
      <c r="B28" s="35"/>
      <c r="C28" s="35"/>
      <c r="D28" s="35"/>
      <c r="E28" s="35"/>
      <c r="F28" s="35"/>
      <c r="G28" s="39"/>
      <c r="H28" s="3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3">
      <c r="A29" s="29" t="s">
        <v>44</v>
      </c>
      <c r="B29" s="35"/>
      <c r="C29" s="35"/>
      <c r="D29" s="35"/>
      <c r="E29" s="35"/>
      <c r="F29" s="35"/>
      <c r="G29" s="39"/>
      <c r="H29" s="39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3">
      <c r="A30" s="29" t="s">
        <v>45</v>
      </c>
      <c r="B30" s="35"/>
      <c r="C30" s="41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1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1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1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2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2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3">
      <c r="A31" s="29" t="s">
        <v>46</v>
      </c>
      <c r="B31" s="35"/>
      <c r="C31" s="35"/>
      <c r="D31" s="35"/>
      <c r="E31" s="35"/>
      <c r="F31" s="35"/>
      <c r="G31" s="39"/>
      <c r="H31" s="39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3">
      <c r="A32" s="29" t="s">
        <v>47</v>
      </c>
      <c r="B32" s="35"/>
      <c r="C32" s="35"/>
      <c r="D32" s="35"/>
      <c r="E32" s="35"/>
      <c r="F32" s="35"/>
      <c r="G32" s="39"/>
      <c r="H32" s="3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3">
      <c r="A33" s="29" t="s">
        <v>48</v>
      </c>
      <c r="B33" s="36"/>
      <c r="C33" s="36"/>
      <c r="D33" s="36"/>
      <c r="E33" s="36"/>
      <c r="F33" s="36"/>
      <c r="G33" s="39"/>
      <c r="H33" s="39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115.2" x14ac:dyDescent="0.3">
      <c r="A34" s="29" t="s">
        <v>49</v>
      </c>
      <c r="B34" s="35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5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5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5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5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39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39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3">
      <c r="B35" s="49"/>
      <c r="C35" s="49"/>
      <c r="D35" s="49"/>
      <c r="E35" s="49"/>
      <c r="F35" s="49"/>
      <c r="G35" s="49"/>
      <c r="H35" s="49"/>
    </row>
    <row r="36" spans="1:19" x14ac:dyDescent="0.3">
      <c r="A36" s="27"/>
      <c r="B36" s="45"/>
      <c r="C36" s="45"/>
      <c r="D36" s="45"/>
      <c r="E36" s="45"/>
      <c r="F36" s="45"/>
      <c r="G36" s="46"/>
      <c r="H36" s="46"/>
    </row>
    <row r="37" spans="1:19" x14ac:dyDescent="0.3">
      <c r="A37" s="1" t="s">
        <v>0</v>
      </c>
      <c r="B37" s="47"/>
      <c r="C37" s="47"/>
      <c r="D37" s="47"/>
      <c r="E37" s="47"/>
      <c r="F37" s="47"/>
      <c r="G37" s="48"/>
      <c r="H37" s="48"/>
    </row>
    <row r="38" spans="1:19" x14ac:dyDescent="0.3">
      <c r="A38" s="29" t="s">
        <v>1</v>
      </c>
      <c r="B38" s="35"/>
      <c r="C38" s="35"/>
      <c r="D38" s="35"/>
      <c r="E38" s="35"/>
      <c r="F38" s="35"/>
      <c r="G38" s="40"/>
      <c r="H38" s="40"/>
    </row>
    <row r="39" spans="1:19" x14ac:dyDescent="0.3">
      <c r="A39" s="29" t="s">
        <v>7</v>
      </c>
      <c r="B39" s="35"/>
      <c r="C39" s="35"/>
      <c r="D39" s="35"/>
      <c r="E39" s="35"/>
      <c r="F39" s="35"/>
      <c r="G39" s="40"/>
      <c r="H39" s="40"/>
    </row>
    <row r="40" spans="1:19" x14ac:dyDescent="0.3">
      <c r="A40" s="29" t="s">
        <v>8</v>
      </c>
      <c r="B40" s="35"/>
      <c r="C40" s="35"/>
      <c r="D40" s="35"/>
      <c r="E40" s="35"/>
      <c r="F40" s="35"/>
      <c r="G40" s="39"/>
      <c r="H40" s="39"/>
    </row>
    <row r="41" spans="1:19" x14ac:dyDescent="0.3">
      <c r="A41" s="29" t="s">
        <v>78</v>
      </c>
      <c r="B41" s="35"/>
      <c r="C41" s="35"/>
      <c r="D41" s="35"/>
      <c r="E41" s="35"/>
      <c r="F41" s="35"/>
      <c r="G41" s="39"/>
      <c r="H41" s="39"/>
    </row>
    <row r="42" spans="1:19" x14ac:dyDescent="0.3">
      <c r="A42" s="29" t="s">
        <v>12</v>
      </c>
      <c r="B42" s="41">
        <f>IFERROR(_xlfn.XLOOKUP(B$37, תורנויות!$B:$B, תורנויות!$D:$D, ""), "")</f>
        <v>0</v>
      </c>
      <c r="C42" s="41">
        <f>IFERROR(_xlfn.XLOOKUP(C$37, תורנויות!$B:$B, תורנויות!$D:$D, ""), "")</f>
        <v>0</v>
      </c>
      <c r="D42" s="41">
        <f>IFERROR(_xlfn.XLOOKUP(D$37, תורנויות!$B:$B, תורנויות!$D:$D, ""), "")</f>
        <v>0</v>
      </c>
      <c r="E42" s="41">
        <f>IFERROR(_xlfn.XLOOKUP(E$37, תורנויות!$B:$B, תורנויות!$D:$D, ""), "")</f>
        <v>0</v>
      </c>
      <c r="F42" s="41">
        <f>IFERROR(_xlfn.XLOOKUP(F$37, תורנויות!$B:$B, תורנויות!$D:$D, ""), "")</f>
        <v>0</v>
      </c>
      <c r="G42" s="42">
        <f>IFERROR(_xlfn.XLOOKUP(G$37, תורנויות!$B:$B, תורנויות!$D:$D, ""), "")</f>
        <v>0</v>
      </c>
      <c r="H42" s="42">
        <f>IFERROR(_xlfn.XLOOKUP(H$37, תורנויות!$B:$B, תורנויות!$D:$D, ""), "")</f>
        <v>0</v>
      </c>
    </row>
    <row r="43" spans="1:19" x14ac:dyDescent="0.3">
      <c r="A43" s="29" t="s">
        <v>18</v>
      </c>
      <c r="B43" s="41">
        <f>IFERROR(_xlfn.XLOOKUP(B$37, תורנויות!$B:$B, תורנויות!$E:$E, ""), "")</f>
        <v>0</v>
      </c>
      <c r="C43" s="41">
        <f>IFERROR(_xlfn.XLOOKUP(C$37, תורנויות!$B:$B, תורנויות!$E:$E, ""), "")</f>
        <v>0</v>
      </c>
      <c r="D43" s="41">
        <f>IFERROR(_xlfn.XLOOKUP(D$37, תורנויות!$B:$B, תורנויות!$E:$E, ""), "")</f>
        <v>0</v>
      </c>
      <c r="E43" s="41">
        <f>IFERROR(_xlfn.XLOOKUP(E$37, תורנויות!$B:$B, תורנויות!$E:$E, ""), "")</f>
        <v>0</v>
      </c>
      <c r="F43" s="41">
        <f>IFERROR(_xlfn.XLOOKUP(F$37, תורנויות!$B:$B, תורנויות!$E:$E, ""), "")</f>
        <v>0</v>
      </c>
      <c r="G43" s="42">
        <f>IFERROR(_xlfn.XLOOKUP(G$37, תורנויות!$B:$B, תורנויות!$E:$E, ""), "")</f>
        <v>0</v>
      </c>
      <c r="H43" s="42">
        <f>IFERROR(_xlfn.XLOOKUP(H$37, תורנויות!$B:$B, תורנויות!$E:$E, ""), "")</f>
        <v>0</v>
      </c>
    </row>
    <row r="44" spans="1:19" x14ac:dyDescent="0.3">
      <c r="A44" s="29" t="s">
        <v>20</v>
      </c>
      <c r="B44" s="35">
        <f>IFERROR(_xlfn.XLOOKUP(B$37, תורנויות!$B:$B, תורנויות!$F:$F, ""), "")</f>
        <v>0</v>
      </c>
      <c r="C44" s="35">
        <f>IFERROR(_xlfn.XLOOKUP(C$37, תורנויות!$B:$B, תורנויות!$F:$F, ""), "")</f>
        <v>0</v>
      </c>
      <c r="D44" s="35">
        <f>IFERROR(_xlfn.XLOOKUP(D$37, תורנויות!$B:$B, תורנויות!$F:$F, ""), "")</f>
        <v>0</v>
      </c>
      <c r="E44" s="35">
        <f>IFERROR(_xlfn.XLOOKUP(E$37, תורנויות!$B:$B, תורנויות!$F:$F, ""), "")</f>
        <v>0</v>
      </c>
      <c r="F44" s="35">
        <f>IFERROR(_xlfn.XLOOKUP(F$37, תורנויות!$B:$B, תורנויות!$F:$F, ""), "")</f>
        <v>0</v>
      </c>
      <c r="G44" s="39">
        <f>IFERROR(_xlfn.XLOOKUP(G$37, תורנויות!$B:$B, תורנויות!$F:$F, ""), "")</f>
        <v>0</v>
      </c>
      <c r="H44" s="39">
        <f>IFERROR(_xlfn.XLOOKUP(H$37, תורנויות!$B:$B, תורנויות!$F:$F, ""), "")</f>
        <v>0</v>
      </c>
    </row>
    <row r="45" spans="1:19" x14ac:dyDescent="0.3">
      <c r="A45" s="29" t="s">
        <v>77</v>
      </c>
      <c r="B45" s="35"/>
      <c r="C45" s="35"/>
      <c r="D45" s="35"/>
      <c r="E45" s="35"/>
      <c r="F45" s="35"/>
      <c r="G45" s="40"/>
      <c r="H45" s="39"/>
    </row>
    <row r="46" spans="1:19" x14ac:dyDescent="0.3">
      <c r="A46" s="29" t="s">
        <v>22</v>
      </c>
      <c r="B46" s="35"/>
      <c r="C46" s="35"/>
      <c r="D46" s="35"/>
      <c r="E46" s="35"/>
      <c r="F46" s="35"/>
      <c r="G46" s="40"/>
      <c r="H46" s="39"/>
    </row>
    <row r="47" spans="1:19" x14ac:dyDescent="0.3">
      <c r="A47" s="29" t="s">
        <v>24</v>
      </c>
      <c r="B47" s="35"/>
      <c r="C47" s="35"/>
      <c r="D47" s="35"/>
      <c r="E47" s="35"/>
      <c r="F47" s="35"/>
      <c r="G47" s="39"/>
      <c r="H47" s="39"/>
    </row>
    <row r="48" spans="1:19" x14ac:dyDescent="0.3">
      <c r="A48" s="29" t="s">
        <v>25</v>
      </c>
      <c r="B48" s="35"/>
      <c r="C48" s="35"/>
      <c r="D48" s="35"/>
      <c r="E48" s="35"/>
      <c r="F48" s="35"/>
      <c r="G48" s="39"/>
      <c r="H48" s="39"/>
    </row>
    <row r="49" spans="1:8" x14ac:dyDescent="0.3">
      <c r="A49" s="29" t="s">
        <v>73</v>
      </c>
      <c r="B49" s="35"/>
      <c r="C49" s="35"/>
      <c r="D49" s="35"/>
      <c r="E49" s="35"/>
      <c r="F49" s="35"/>
      <c r="G49" s="39"/>
      <c r="H49" s="39"/>
    </row>
    <row r="50" spans="1:8" x14ac:dyDescent="0.3">
      <c r="A50" s="29" t="s">
        <v>26</v>
      </c>
      <c r="B50" s="35"/>
      <c r="C50" s="35"/>
      <c r="D50" s="35"/>
      <c r="E50" s="35"/>
      <c r="F50" s="35"/>
      <c r="G50" s="39"/>
      <c r="H50" s="39"/>
    </row>
    <row r="51" spans="1:8" x14ac:dyDescent="0.3">
      <c r="A51" s="29" t="s">
        <v>27</v>
      </c>
      <c r="B51" s="35"/>
      <c r="C51" s="35"/>
      <c r="D51" s="35"/>
      <c r="E51" s="35"/>
      <c r="F51" s="35"/>
      <c r="G51" s="39"/>
      <c r="H51" s="39"/>
    </row>
    <row r="52" spans="1:8" x14ac:dyDescent="0.3">
      <c r="A52" s="29" t="s">
        <v>28</v>
      </c>
      <c r="B52" s="35"/>
      <c r="C52" s="35"/>
      <c r="D52" s="35"/>
      <c r="E52" s="35"/>
      <c r="F52" s="35"/>
      <c r="G52" s="39"/>
      <c r="H52" s="39"/>
    </row>
    <row r="53" spans="1:8" x14ac:dyDescent="0.3">
      <c r="A53" s="29" t="s">
        <v>29</v>
      </c>
      <c r="B53" s="35"/>
      <c r="C53" s="35"/>
      <c r="D53" s="35"/>
      <c r="E53" s="35"/>
      <c r="F53" s="35"/>
      <c r="G53" s="39"/>
      <c r="H53" s="39"/>
    </row>
    <row r="54" spans="1:8" x14ac:dyDescent="0.3">
      <c r="A54" s="29" t="s">
        <v>30</v>
      </c>
      <c r="B54" s="35"/>
      <c r="C54" s="35"/>
      <c r="D54" s="35"/>
      <c r="E54" s="35"/>
      <c r="F54" s="35"/>
      <c r="G54" s="39"/>
      <c r="H54" s="39"/>
    </row>
    <row r="55" spans="1:8" x14ac:dyDescent="0.3">
      <c r="A55" s="29" t="s">
        <v>31</v>
      </c>
      <c r="B55" s="35"/>
      <c r="C55" s="35"/>
      <c r="D55" s="35"/>
      <c r="E55" s="35"/>
      <c r="F55" s="35"/>
      <c r="G55" s="39"/>
      <c r="H55" s="39"/>
    </row>
    <row r="56" spans="1:8" x14ac:dyDescent="0.3">
      <c r="A56" s="29" t="s">
        <v>33</v>
      </c>
      <c r="B56" s="35"/>
      <c r="C56" s="35"/>
      <c r="D56" s="35"/>
      <c r="E56" s="35"/>
      <c r="F56" s="35"/>
      <c r="G56" s="39"/>
      <c r="H56" s="39"/>
    </row>
    <row r="57" spans="1:8" x14ac:dyDescent="0.3">
      <c r="A57" s="29" t="s">
        <v>35</v>
      </c>
      <c r="B57" s="35"/>
      <c r="C57" s="35"/>
      <c r="D57" s="35"/>
      <c r="E57" s="35"/>
      <c r="F57" s="35"/>
      <c r="G57" s="39"/>
      <c r="H57" s="39"/>
    </row>
    <row r="58" spans="1:8" x14ac:dyDescent="0.3">
      <c r="A58" s="29" t="s">
        <v>37</v>
      </c>
      <c r="B58" s="35"/>
      <c r="C58" s="35"/>
      <c r="D58" s="35"/>
      <c r="E58" s="35"/>
      <c r="F58" s="35"/>
      <c r="G58" s="39"/>
      <c r="H58" s="39"/>
    </row>
    <row r="59" spans="1:8" x14ac:dyDescent="0.3">
      <c r="A59" s="29" t="s">
        <v>38</v>
      </c>
      <c r="B59" s="35"/>
      <c r="C59" s="35"/>
      <c r="D59" s="35"/>
      <c r="E59" s="35"/>
      <c r="F59" s="35"/>
      <c r="G59" s="39"/>
      <c r="H59" s="39"/>
    </row>
    <row r="60" spans="1:8" x14ac:dyDescent="0.3">
      <c r="A60" s="29" t="s">
        <v>39</v>
      </c>
      <c r="B60" s="35"/>
      <c r="C60" s="35"/>
      <c r="D60" s="35"/>
      <c r="E60" s="35"/>
      <c r="F60" s="35"/>
      <c r="G60" s="39"/>
      <c r="H60" s="39"/>
    </row>
    <row r="61" spans="1:8" x14ac:dyDescent="0.3">
      <c r="A61" s="29" t="s">
        <v>40</v>
      </c>
      <c r="B61" s="35"/>
      <c r="C61" s="35"/>
      <c r="D61" s="35"/>
      <c r="E61" s="35"/>
      <c r="F61" s="35"/>
      <c r="G61" s="39"/>
      <c r="H61" s="39"/>
    </row>
    <row r="62" spans="1:8" x14ac:dyDescent="0.3">
      <c r="A62" s="29" t="s">
        <v>41</v>
      </c>
      <c r="B62" s="35"/>
      <c r="C62" s="35"/>
      <c r="D62" s="35"/>
      <c r="E62" s="35"/>
      <c r="F62" s="35"/>
      <c r="G62" s="39"/>
      <c r="H62" s="39"/>
    </row>
    <row r="63" spans="1:8" x14ac:dyDescent="0.3">
      <c r="A63" s="29" t="s">
        <v>43</v>
      </c>
      <c r="B63" s="35"/>
      <c r="C63" s="35"/>
      <c r="D63" s="35"/>
      <c r="E63" s="35"/>
      <c r="F63" s="35"/>
      <c r="G63" s="39"/>
      <c r="H63" s="39"/>
    </row>
    <row r="64" spans="1:8" x14ac:dyDescent="0.3">
      <c r="A64" s="29" t="s">
        <v>44</v>
      </c>
      <c r="B64" s="35"/>
      <c r="C64" s="35"/>
      <c r="D64" s="35"/>
      <c r="E64" s="35"/>
      <c r="F64" s="35"/>
      <c r="G64" s="39"/>
      <c r="H64" s="39"/>
    </row>
    <row r="65" spans="1:8" x14ac:dyDescent="0.3">
      <c r="A65" s="29" t="s">
        <v>45</v>
      </c>
      <c r="B65" s="41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1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1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1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1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2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2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29" t="s">
        <v>46</v>
      </c>
      <c r="B66" s="35"/>
      <c r="C66" s="35"/>
      <c r="D66" s="35"/>
      <c r="E66" s="35"/>
      <c r="F66" s="35"/>
      <c r="G66" s="39"/>
      <c r="H66" s="39"/>
    </row>
    <row r="67" spans="1:8" x14ac:dyDescent="0.3">
      <c r="A67" s="29" t="s">
        <v>47</v>
      </c>
      <c r="B67" s="35"/>
      <c r="C67" s="35"/>
      <c r="D67" s="35"/>
      <c r="E67" s="35"/>
      <c r="F67" s="35"/>
      <c r="G67" s="39"/>
      <c r="H67" s="39"/>
    </row>
    <row r="68" spans="1:8" x14ac:dyDescent="0.3">
      <c r="A68" s="29" t="s">
        <v>48</v>
      </c>
      <c r="B68" s="35"/>
      <c r="C68" s="35"/>
      <c r="D68" s="35"/>
      <c r="E68" s="35"/>
      <c r="F68" s="35"/>
      <c r="G68" s="39"/>
      <c r="H68" s="39"/>
    </row>
    <row r="69" spans="1:8" ht="115.2" x14ac:dyDescent="0.3">
      <c r="A69" s="29" t="s">
        <v>49</v>
      </c>
      <c r="B69" s="35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5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5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5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5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39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39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0" spans="1:8" x14ac:dyDescent="0.3">
      <c r="B70" s="49"/>
      <c r="C70" s="49"/>
      <c r="D70" s="49"/>
      <c r="E70" s="49"/>
      <c r="F70" s="49"/>
      <c r="G70" s="49"/>
      <c r="H70" s="49"/>
    </row>
    <row r="71" spans="1:8" x14ac:dyDescent="0.3">
      <c r="A71" s="27"/>
      <c r="B71" s="45"/>
      <c r="C71" s="45"/>
      <c r="D71" s="45"/>
      <c r="E71" s="45"/>
      <c r="F71" s="45"/>
      <c r="G71" s="46"/>
      <c r="H71" s="46"/>
    </row>
    <row r="72" spans="1:8" x14ac:dyDescent="0.3">
      <c r="A72" s="1" t="s">
        <v>0</v>
      </c>
      <c r="B72" s="47"/>
      <c r="C72" s="47"/>
      <c r="D72" s="47"/>
      <c r="E72" s="47"/>
      <c r="F72" s="47"/>
      <c r="G72" s="48"/>
      <c r="H72" s="48"/>
    </row>
    <row r="73" spans="1:8" x14ac:dyDescent="0.3">
      <c r="A73" s="29" t="s">
        <v>1</v>
      </c>
      <c r="B73" s="35"/>
      <c r="C73" s="37"/>
      <c r="D73" s="37"/>
      <c r="E73" s="37"/>
      <c r="F73" s="37"/>
      <c r="G73" s="39"/>
      <c r="H73" s="39"/>
    </row>
    <row r="74" spans="1:8" x14ac:dyDescent="0.3">
      <c r="A74" s="29" t="s">
        <v>7</v>
      </c>
      <c r="B74" s="35"/>
      <c r="C74" s="37"/>
      <c r="D74" s="37"/>
      <c r="E74" s="37"/>
      <c r="F74" s="37"/>
      <c r="G74" s="39"/>
      <c r="H74" s="39"/>
    </row>
    <row r="75" spans="1:8" x14ac:dyDescent="0.3">
      <c r="A75" s="29" t="s">
        <v>8</v>
      </c>
      <c r="B75" s="35"/>
      <c r="C75" s="35"/>
      <c r="D75" s="35"/>
      <c r="E75" s="35"/>
      <c r="F75" s="35"/>
      <c r="G75" s="39"/>
      <c r="H75" s="39"/>
    </row>
    <row r="76" spans="1:8" x14ac:dyDescent="0.3">
      <c r="A76" s="29" t="s">
        <v>78</v>
      </c>
      <c r="B76" s="35"/>
      <c r="C76" s="35"/>
      <c r="D76" s="35"/>
      <c r="E76" s="35"/>
      <c r="F76" s="35"/>
      <c r="G76" s="39"/>
      <c r="H76" s="39"/>
    </row>
    <row r="77" spans="1:8" x14ac:dyDescent="0.3">
      <c r="A77" s="29" t="s">
        <v>12</v>
      </c>
      <c r="B77" s="41">
        <f>IFERROR(_xlfn.XLOOKUP(B$72, תורנויות!$B:$B, תורנויות!$D:$D, ""), "")</f>
        <v>0</v>
      </c>
      <c r="C77" s="41">
        <f>IFERROR(_xlfn.XLOOKUP(C$72, תורנויות!$B:$B, תורנויות!$D:$D, ""), "")</f>
        <v>0</v>
      </c>
      <c r="D77" s="41">
        <f>IFERROR(_xlfn.XLOOKUP(D$72, תורנויות!$B:$B, תורנויות!$D:$D, ""), "")</f>
        <v>0</v>
      </c>
      <c r="E77" s="41">
        <f>IFERROR(_xlfn.XLOOKUP(E$72, תורנויות!$B:$B, תורנויות!$D:$D, ""), "")</f>
        <v>0</v>
      </c>
      <c r="F77" s="41">
        <f>IFERROR(_xlfn.XLOOKUP(F$72, תורנויות!$B:$B, תורנויות!$D:$D, ""), "")</f>
        <v>0</v>
      </c>
      <c r="G77" s="42">
        <f>IFERROR(_xlfn.XLOOKUP(G$72, תורנויות!$B:$B, תורנויות!$D:$D, ""), "")</f>
        <v>0</v>
      </c>
      <c r="H77" s="42">
        <f>IFERROR(_xlfn.XLOOKUP(H$72, תורנויות!$B:$B, תורנויות!$D:$D, ""), "")</f>
        <v>0</v>
      </c>
    </row>
    <row r="78" spans="1:8" x14ac:dyDescent="0.3">
      <c r="A78" s="29" t="s">
        <v>18</v>
      </c>
      <c r="B78" s="41">
        <f>IFERROR(_xlfn.XLOOKUP(B$72, תורנויות!$B:$B, תורנויות!$E:$E, ""), "")</f>
        <v>0</v>
      </c>
      <c r="C78" s="41">
        <f>IFERROR(_xlfn.XLOOKUP(C$72, תורנויות!$B:$B, תורנויות!$E:$E, ""), "")</f>
        <v>0</v>
      </c>
      <c r="D78" s="41">
        <f>IFERROR(_xlfn.XLOOKUP(D$72, תורנויות!$B:$B, תורנויות!$E:$E, ""), "")</f>
        <v>0</v>
      </c>
      <c r="E78" s="41">
        <f>IFERROR(_xlfn.XLOOKUP(E$72, תורנויות!$B:$B, תורנויות!$E:$E, ""), "")</f>
        <v>0</v>
      </c>
      <c r="F78" s="41">
        <f>IFERROR(_xlfn.XLOOKUP(F$72, תורנויות!$B:$B, תורנויות!$E:$E, ""), "")</f>
        <v>0</v>
      </c>
      <c r="G78" s="42">
        <f>IFERROR(_xlfn.XLOOKUP(G$72, תורנויות!$B:$B, תורנויות!$E:$E, ""), "")</f>
        <v>0</v>
      </c>
      <c r="H78" s="42">
        <f>IFERROR(_xlfn.XLOOKUP(H$72, תורנויות!$B:$B, תורנויות!$E:$E, ""), "")</f>
        <v>0</v>
      </c>
    </row>
    <row r="79" spans="1:8" x14ac:dyDescent="0.3">
      <c r="A79" s="29" t="s">
        <v>20</v>
      </c>
      <c r="B79" s="35">
        <f>IFERROR(_xlfn.XLOOKUP(B$72, תורנויות!$B:$B, תורנויות!$F:$F, ""), "")</f>
        <v>0</v>
      </c>
      <c r="C79" s="35">
        <f>IFERROR(_xlfn.XLOOKUP(C$72, תורנויות!$B:$B, תורנויות!$F:$F, ""), "")</f>
        <v>0</v>
      </c>
      <c r="D79" s="35">
        <f>IFERROR(_xlfn.XLOOKUP(D$72, תורנויות!$B:$B, תורנויות!$F:$F, ""), "")</f>
        <v>0</v>
      </c>
      <c r="E79" s="35">
        <f>IFERROR(_xlfn.XLOOKUP(E$72, תורנויות!$B:$B, תורנויות!$F:$F, ""), "")</f>
        <v>0</v>
      </c>
      <c r="F79" s="35">
        <f>IFERROR(_xlfn.XLOOKUP(F$72, תורנויות!$B:$B, תורנויות!$F:$F, ""), "")</f>
        <v>0</v>
      </c>
      <c r="G79" s="39">
        <f>IFERROR(_xlfn.XLOOKUP(G$72, תורנויות!$B:$B, תורנויות!$F:$F, ""), "")</f>
        <v>0</v>
      </c>
      <c r="H79" s="39">
        <f>IFERROR(_xlfn.XLOOKUP(H$72, תורנויות!$B:$B, תורנויות!$F:$F, ""), "")</f>
        <v>0</v>
      </c>
    </row>
    <row r="80" spans="1:8" x14ac:dyDescent="0.3">
      <c r="A80" s="29" t="s">
        <v>77</v>
      </c>
      <c r="B80" s="35"/>
      <c r="C80" s="35"/>
      <c r="D80" s="35"/>
      <c r="E80" s="35"/>
      <c r="F80" s="35"/>
      <c r="G80" s="39"/>
      <c r="H80" s="39"/>
    </row>
    <row r="81" spans="1:8" x14ac:dyDescent="0.3">
      <c r="A81" s="29" t="s">
        <v>22</v>
      </c>
      <c r="B81" s="35"/>
      <c r="C81" s="35"/>
      <c r="D81" s="35"/>
      <c r="E81" s="35"/>
      <c r="F81" s="35"/>
      <c r="G81" s="39"/>
      <c r="H81" s="39"/>
    </row>
    <row r="82" spans="1:8" x14ac:dyDescent="0.3">
      <c r="A82" s="29" t="s">
        <v>24</v>
      </c>
      <c r="B82" s="35"/>
      <c r="C82" s="35"/>
      <c r="D82" s="35"/>
      <c r="E82" s="35"/>
      <c r="F82" s="35"/>
      <c r="G82" s="39"/>
      <c r="H82" s="39"/>
    </row>
    <row r="83" spans="1:8" x14ac:dyDescent="0.3">
      <c r="A83" s="29" t="s">
        <v>25</v>
      </c>
      <c r="B83" s="35"/>
      <c r="C83" s="35"/>
      <c r="D83" s="35"/>
      <c r="E83" s="35"/>
      <c r="F83" s="35"/>
      <c r="G83" s="39"/>
      <c r="H83" s="39"/>
    </row>
    <row r="84" spans="1:8" x14ac:dyDescent="0.3">
      <c r="A84" s="29" t="s">
        <v>73</v>
      </c>
      <c r="B84" s="35"/>
      <c r="C84" s="35"/>
      <c r="D84" s="35"/>
      <c r="E84" s="35"/>
      <c r="F84" s="37"/>
      <c r="G84" s="39"/>
      <c r="H84" s="39"/>
    </row>
    <row r="85" spans="1:8" x14ac:dyDescent="0.3">
      <c r="A85" s="29" t="s">
        <v>26</v>
      </c>
      <c r="B85" s="35"/>
      <c r="C85" s="35"/>
      <c r="D85" s="35"/>
      <c r="E85" s="35"/>
      <c r="F85" s="35"/>
      <c r="G85" s="39"/>
      <c r="H85" s="39"/>
    </row>
    <row r="86" spans="1:8" x14ac:dyDescent="0.3">
      <c r="A86" s="29" t="s">
        <v>27</v>
      </c>
      <c r="B86" s="35"/>
      <c r="C86" s="35"/>
      <c r="D86" s="35"/>
      <c r="E86" s="35"/>
      <c r="F86" s="35"/>
      <c r="G86" s="39"/>
      <c r="H86" s="39"/>
    </row>
    <row r="87" spans="1:8" x14ac:dyDescent="0.3">
      <c r="A87" s="29" t="s">
        <v>28</v>
      </c>
      <c r="B87" s="35"/>
      <c r="C87" s="35"/>
      <c r="D87" s="35"/>
      <c r="E87" s="35"/>
      <c r="F87" s="35"/>
      <c r="G87" s="39"/>
      <c r="H87" s="39"/>
    </row>
    <row r="88" spans="1:8" x14ac:dyDescent="0.3">
      <c r="A88" s="29" t="s">
        <v>29</v>
      </c>
      <c r="B88" s="35"/>
      <c r="C88" s="35"/>
      <c r="D88" s="35"/>
      <c r="E88" s="35"/>
      <c r="F88" s="35"/>
      <c r="G88" s="39"/>
      <c r="H88" s="39"/>
    </row>
    <row r="89" spans="1:8" x14ac:dyDescent="0.3">
      <c r="A89" s="29" t="s">
        <v>30</v>
      </c>
      <c r="B89" s="35"/>
      <c r="C89" s="35"/>
      <c r="D89" s="35"/>
      <c r="E89" s="35"/>
      <c r="F89" s="35"/>
      <c r="G89" s="39"/>
      <c r="H89" s="39"/>
    </row>
    <row r="90" spans="1:8" x14ac:dyDescent="0.3">
      <c r="A90" s="29" t="s">
        <v>31</v>
      </c>
      <c r="B90" s="35"/>
      <c r="C90" s="35"/>
      <c r="D90" s="35"/>
      <c r="E90" s="35"/>
      <c r="F90" s="35"/>
      <c r="G90" s="39"/>
      <c r="H90" s="39"/>
    </row>
    <row r="91" spans="1:8" x14ac:dyDescent="0.3">
      <c r="A91" s="29" t="s">
        <v>33</v>
      </c>
      <c r="B91" s="35"/>
      <c r="C91" s="35"/>
      <c r="D91" s="35"/>
      <c r="E91" s="35"/>
      <c r="F91" s="35"/>
      <c r="G91" s="39"/>
      <c r="H91" s="39"/>
    </row>
    <row r="92" spans="1:8" x14ac:dyDescent="0.3">
      <c r="A92" s="29" t="s">
        <v>35</v>
      </c>
      <c r="B92" s="35"/>
      <c r="C92" s="35"/>
      <c r="D92" s="35"/>
      <c r="E92" s="35"/>
      <c r="F92" s="35"/>
      <c r="G92" s="39"/>
      <c r="H92" s="39"/>
    </row>
    <row r="93" spans="1:8" x14ac:dyDescent="0.3">
      <c r="A93" s="29" t="s">
        <v>37</v>
      </c>
      <c r="B93" s="35"/>
      <c r="C93" s="35"/>
      <c r="D93" s="35"/>
      <c r="E93" s="35"/>
      <c r="F93" s="35"/>
      <c r="G93" s="39"/>
      <c r="H93" s="39"/>
    </row>
    <row r="94" spans="1:8" x14ac:dyDescent="0.3">
      <c r="A94" s="29" t="s">
        <v>38</v>
      </c>
      <c r="B94" s="35"/>
      <c r="C94" s="35"/>
      <c r="D94" s="35"/>
      <c r="E94" s="35"/>
      <c r="F94" s="35"/>
      <c r="G94" s="39"/>
      <c r="H94" s="39"/>
    </row>
    <row r="95" spans="1:8" x14ac:dyDescent="0.3">
      <c r="A95" s="29" t="s">
        <v>39</v>
      </c>
      <c r="B95" s="35"/>
      <c r="C95" s="35"/>
      <c r="D95" s="35"/>
      <c r="E95" s="35"/>
      <c r="F95" s="35"/>
      <c r="G95" s="39"/>
      <c r="H95" s="39"/>
    </row>
    <row r="96" spans="1:8" x14ac:dyDescent="0.3">
      <c r="A96" s="29" t="s">
        <v>40</v>
      </c>
      <c r="B96" s="35"/>
      <c r="C96" s="35"/>
      <c r="D96" s="35"/>
      <c r="E96" s="35"/>
      <c r="F96" s="35"/>
      <c r="G96" s="39"/>
      <c r="H96" s="39"/>
    </row>
    <row r="97" spans="1:8" x14ac:dyDescent="0.3">
      <c r="A97" s="29" t="s">
        <v>41</v>
      </c>
      <c r="B97" s="35"/>
      <c r="C97" s="35"/>
      <c r="D97" s="35"/>
      <c r="E97" s="35"/>
      <c r="F97" s="35"/>
      <c r="G97" s="39"/>
      <c r="H97" s="39"/>
    </row>
    <row r="98" spans="1:8" x14ac:dyDescent="0.3">
      <c r="A98" s="29" t="s">
        <v>43</v>
      </c>
      <c r="B98" s="35"/>
      <c r="C98" s="35"/>
      <c r="D98" s="35"/>
      <c r="E98" s="35"/>
      <c r="F98" s="37"/>
      <c r="G98" s="39"/>
      <c r="H98" s="39"/>
    </row>
    <row r="99" spans="1:8" x14ac:dyDescent="0.3">
      <c r="A99" s="29" t="s">
        <v>44</v>
      </c>
      <c r="B99" s="35"/>
      <c r="C99" s="35"/>
      <c r="D99" s="35"/>
      <c r="E99" s="35"/>
      <c r="F99" s="37"/>
      <c r="G99" s="39"/>
      <c r="H99" s="39"/>
    </row>
    <row r="100" spans="1:8" x14ac:dyDescent="0.3">
      <c r="A100" s="29" t="s">
        <v>45</v>
      </c>
      <c r="B100" s="41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1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1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1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1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2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2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29" t="s">
        <v>46</v>
      </c>
      <c r="B101" s="35"/>
      <c r="C101" s="35"/>
      <c r="D101" s="35"/>
      <c r="E101" s="35"/>
      <c r="F101" s="35"/>
      <c r="G101" s="39"/>
      <c r="H101" s="39"/>
    </row>
    <row r="102" spans="1:8" x14ac:dyDescent="0.3">
      <c r="A102" s="29" t="s">
        <v>47</v>
      </c>
      <c r="B102" s="35"/>
      <c r="C102" s="35"/>
      <c r="D102" s="35"/>
      <c r="E102" s="35"/>
      <c r="F102" s="35"/>
      <c r="G102" s="39"/>
      <c r="H102" s="39"/>
    </row>
    <row r="103" spans="1:8" x14ac:dyDescent="0.3">
      <c r="A103" s="29" t="s">
        <v>48</v>
      </c>
      <c r="B103" s="35"/>
      <c r="C103" s="35"/>
      <c r="D103" s="35"/>
      <c r="E103" s="35"/>
      <c r="F103" s="35"/>
      <c r="G103" s="39"/>
      <c r="H103" s="39"/>
    </row>
    <row r="104" spans="1:8" ht="115.2" x14ac:dyDescent="0.3">
      <c r="A104" s="29" t="s">
        <v>49</v>
      </c>
      <c r="B104" s="35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5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5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5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5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39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39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5" spans="1:8" x14ac:dyDescent="0.3">
      <c r="B105" s="49"/>
      <c r="C105" s="49"/>
      <c r="D105" s="49"/>
      <c r="E105" s="49"/>
      <c r="F105" s="49"/>
      <c r="G105" s="49"/>
      <c r="H105" s="49"/>
    </row>
    <row r="106" spans="1:8" x14ac:dyDescent="0.3">
      <c r="A106" s="27"/>
      <c r="B106" s="45"/>
      <c r="C106" s="45"/>
      <c r="D106" s="45"/>
      <c r="E106" s="45"/>
      <c r="F106" s="45"/>
      <c r="G106" s="46"/>
      <c r="H106" s="46"/>
    </row>
    <row r="107" spans="1:8" x14ac:dyDescent="0.3">
      <c r="A107" s="1" t="s">
        <v>0</v>
      </c>
      <c r="B107" s="47"/>
      <c r="C107" s="47"/>
      <c r="D107" s="47"/>
      <c r="E107" s="47"/>
      <c r="F107" s="47"/>
      <c r="G107" s="48"/>
      <c r="H107" s="48"/>
    </row>
    <row r="108" spans="1:8" x14ac:dyDescent="0.3">
      <c r="A108" s="29" t="s">
        <v>1</v>
      </c>
      <c r="B108" s="37"/>
      <c r="C108" s="37"/>
      <c r="D108" s="37"/>
      <c r="E108" s="37"/>
      <c r="F108" s="37"/>
      <c r="G108" s="39"/>
      <c r="H108" s="39"/>
    </row>
    <row r="109" spans="1:8" x14ac:dyDescent="0.3">
      <c r="A109" s="29" t="s">
        <v>7</v>
      </c>
      <c r="B109" s="37"/>
      <c r="C109" s="37"/>
      <c r="D109" s="37"/>
      <c r="E109" s="37"/>
      <c r="F109" s="37"/>
      <c r="G109" s="39"/>
      <c r="H109" s="39"/>
    </row>
    <row r="110" spans="1:8" x14ac:dyDescent="0.3">
      <c r="A110" s="29" t="s">
        <v>8</v>
      </c>
      <c r="B110" s="35"/>
      <c r="C110" s="35"/>
      <c r="D110" s="35"/>
      <c r="E110" s="35"/>
      <c r="F110" s="35"/>
      <c r="G110" s="39"/>
      <c r="H110" s="39"/>
    </row>
    <row r="111" spans="1:8" x14ac:dyDescent="0.3">
      <c r="A111" s="29" t="s">
        <v>78</v>
      </c>
      <c r="B111" s="35"/>
      <c r="C111" s="35"/>
      <c r="D111" s="35"/>
      <c r="E111" s="35"/>
      <c r="F111" s="35"/>
      <c r="G111" s="39"/>
      <c r="H111" s="39"/>
    </row>
    <row r="112" spans="1:8" x14ac:dyDescent="0.3">
      <c r="A112" s="29" t="s">
        <v>12</v>
      </c>
      <c r="B112" s="41">
        <f>IFERROR(_xlfn.XLOOKUP(B$107, תורנויות!$B:$B, תורנויות!$D:$D, ""), "")</f>
        <v>0</v>
      </c>
      <c r="C112" s="41">
        <f>IFERROR(_xlfn.XLOOKUP(C$107, תורנויות!$B:$B, תורנויות!$D:$D, ""), "")</f>
        <v>0</v>
      </c>
      <c r="D112" s="41">
        <f>IFERROR(_xlfn.XLOOKUP(D$107, תורנויות!$B:$B, תורנויות!$D:$D, ""), "")</f>
        <v>0</v>
      </c>
      <c r="E112" s="41">
        <f>IFERROR(_xlfn.XLOOKUP(E$107, תורנויות!$B:$B, תורנויות!$D:$D, ""), "")</f>
        <v>0</v>
      </c>
      <c r="F112" s="41">
        <f>IFERROR(_xlfn.XLOOKUP(F$107, תורנויות!$B:$B, תורנויות!$D:$D, ""), "")</f>
        <v>0</v>
      </c>
      <c r="G112" s="42">
        <f>IFERROR(_xlfn.XLOOKUP(G$107, תורנויות!$B:$B, תורנויות!$D:$D, ""), "")</f>
        <v>0</v>
      </c>
      <c r="H112" s="42">
        <f>IFERROR(_xlfn.XLOOKUP(H$107, תורנויות!$B:$B, תורנויות!$D:$D, ""), "")</f>
        <v>0</v>
      </c>
    </row>
    <row r="113" spans="1:8" x14ac:dyDescent="0.3">
      <c r="A113" s="29" t="s">
        <v>18</v>
      </c>
      <c r="B113" s="41">
        <f>IFERROR(_xlfn.XLOOKUP(B$107, תורנויות!$B:$B, תורנויות!$E:$E, ""), "")</f>
        <v>0</v>
      </c>
      <c r="C113" s="41">
        <f>IFERROR(_xlfn.XLOOKUP(C$107, תורנויות!$B:$B, תורנויות!$E:$E, ""), "")</f>
        <v>0</v>
      </c>
      <c r="D113" s="41">
        <f>IFERROR(_xlfn.XLOOKUP(D$107, תורנויות!$B:$B, תורנויות!$E:$E, ""), "")</f>
        <v>0</v>
      </c>
      <c r="E113" s="41">
        <f>IFERROR(_xlfn.XLOOKUP(E$107, תורנויות!$B:$B, תורנויות!$E:$E, ""), "")</f>
        <v>0</v>
      </c>
      <c r="F113" s="41">
        <f>IFERROR(_xlfn.XLOOKUP(F$107, תורנויות!$B:$B, תורנויות!$E:$E, ""), "")</f>
        <v>0</v>
      </c>
      <c r="G113" s="42">
        <f>IFERROR(_xlfn.XLOOKUP(G$107, תורנויות!$B:$B, תורנויות!$E:$E, ""), "")</f>
        <v>0</v>
      </c>
      <c r="H113" s="42">
        <f>IFERROR(_xlfn.XLOOKUP(H$107, תורנויות!$B:$B, תורנויות!$E:$E, ""), "")</f>
        <v>0</v>
      </c>
    </row>
    <row r="114" spans="1:8" x14ac:dyDescent="0.3">
      <c r="A114" s="29" t="s">
        <v>20</v>
      </c>
      <c r="B114" s="35">
        <f>IFERROR(_xlfn.XLOOKUP(B$107, תורנויות!$B:$B, תורנויות!$F:$F, ""), "")</f>
        <v>0</v>
      </c>
      <c r="C114" s="35">
        <f>IFERROR(_xlfn.XLOOKUP(C$107, תורנויות!$B:$B, תורנויות!$F:$F, ""), "")</f>
        <v>0</v>
      </c>
      <c r="D114" s="35">
        <f>IFERROR(_xlfn.XLOOKUP(D$107, תורנויות!$B:$B, תורנויות!$F:$F, ""), "")</f>
        <v>0</v>
      </c>
      <c r="E114" s="35">
        <f>IFERROR(_xlfn.XLOOKUP(E$107, תורנויות!$B:$B, תורנויות!$F:$F, ""), "")</f>
        <v>0</v>
      </c>
      <c r="F114" s="35">
        <f>IFERROR(_xlfn.XLOOKUP(F$107, תורנויות!$B:$B, תורנויות!$F:$F, ""), "")</f>
        <v>0</v>
      </c>
      <c r="G114" s="39">
        <f>IFERROR(_xlfn.XLOOKUP(G$107, תורנויות!$B:$B, תורנויות!$F:$F, ""), "")</f>
        <v>0</v>
      </c>
      <c r="H114" s="39">
        <f>IFERROR(_xlfn.XLOOKUP(H$107, תורנויות!$B:$B, תורנויות!$F:$F, ""), "")</f>
        <v>0</v>
      </c>
    </row>
    <row r="115" spans="1:8" x14ac:dyDescent="0.3">
      <c r="A115" s="29" t="s">
        <v>77</v>
      </c>
      <c r="B115" s="35"/>
      <c r="C115" s="35"/>
      <c r="D115" s="35"/>
      <c r="E115" s="35"/>
      <c r="F115" s="35"/>
      <c r="G115" s="39"/>
      <c r="H115" s="39"/>
    </row>
    <row r="116" spans="1:8" x14ac:dyDescent="0.3">
      <c r="A116" s="29" t="s">
        <v>22</v>
      </c>
      <c r="B116" s="35"/>
      <c r="C116" s="35"/>
      <c r="D116" s="35"/>
      <c r="E116" s="35"/>
      <c r="F116" s="35"/>
      <c r="G116" s="39"/>
      <c r="H116" s="39"/>
    </row>
    <row r="117" spans="1:8" x14ac:dyDescent="0.3">
      <c r="A117" s="29" t="s">
        <v>24</v>
      </c>
      <c r="B117" s="35"/>
      <c r="C117" s="35"/>
      <c r="D117" s="35"/>
      <c r="E117" s="35"/>
      <c r="F117" s="35"/>
      <c r="G117" s="39"/>
      <c r="H117" s="39"/>
    </row>
    <row r="118" spans="1:8" x14ac:dyDescent="0.3">
      <c r="A118" s="29" t="s">
        <v>25</v>
      </c>
      <c r="B118" s="35"/>
      <c r="C118" s="35"/>
      <c r="D118" s="35"/>
      <c r="E118" s="35"/>
      <c r="F118" s="35"/>
      <c r="G118" s="39"/>
      <c r="H118" s="39"/>
    </row>
    <row r="119" spans="1:8" x14ac:dyDescent="0.3">
      <c r="A119" s="29" t="s">
        <v>73</v>
      </c>
      <c r="B119" s="35"/>
      <c r="C119" s="35"/>
      <c r="D119" s="35"/>
      <c r="E119" s="35"/>
      <c r="F119" s="35"/>
      <c r="G119" s="39"/>
      <c r="H119" s="39"/>
    </row>
    <row r="120" spans="1:8" x14ac:dyDescent="0.3">
      <c r="A120" s="29" t="s">
        <v>26</v>
      </c>
      <c r="B120" s="35"/>
      <c r="C120" s="35"/>
      <c r="D120" s="35"/>
      <c r="E120" s="35"/>
      <c r="F120" s="35"/>
      <c r="G120" s="39"/>
      <c r="H120" s="39"/>
    </row>
    <row r="121" spans="1:8" x14ac:dyDescent="0.3">
      <c r="A121" s="29" t="s">
        <v>27</v>
      </c>
      <c r="B121" s="35"/>
      <c r="C121" s="35"/>
      <c r="D121" s="35"/>
      <c r="E121" s="35"/>
      <c r="F121" s="35"/>
      <c r="G121" s="39"/>
      <c r="H121" s="39"/>
    </row>
    <row r="122" spans="1:8" x14ac:dyDescent="0.3">
      <c r="A122" s="29" t="s">
        <v>28</v>
      </c>
      <c r="B122" s="35"/>
      <c r="C122" s="35"/>
      <c r="D122" s="35"/>
      <c r="E122" s="35"/>
      <c r="F122" s="35"/>
      <c r="G122" s="39"/>
      <c r="H122" s="39"/>
    </row>
    <row r="123" spans="1:8" x14ac:dyDescent="0.3">
      <c r="A123" s="29" t="s">
        <v>29</v>
      </c>
      <c r="B123" s="35"/>
      <c r="C123" s="35"/>
      <c r="D123" s="35"/>
      <c r="E123" s="35"/>
      <c r="F123" s="35"/>
      <c r="G123" s="39"/>
      <c r="H123" s="39"/>
    </row>
    <row r="124" spans="1:8" x14ac:dyDescent="0.3">
      <c r="A124" s="29" t="s">
        <v>30</v>
      </c>
      <c r="B124" s="35"/>
      <c r="C124" s="35"/>
      <c r="D124" s="35"/>
      <c r="E124" s="35"/>
      <c r="F124" s="35"/>
      <c r="G124" s="39"/>
      <c r="H124" s="39"/>
    </row>
    <row r="125" spans="1:8" x14ac:dyDescent="0.3">
      <c r="A125" s="29" t="s">
        <v>31</v>
      </c>
      <c r="B125" s="35"/>
      <c r="C125" s="35"/>
      <c r="D125" s="35"/>
      <c r="E125" s="35"/>
      <c r="F125" s="35"/>
      <c r="G125" s="39"/>
      <c r="H125" s="39"/>
    </row>
    <row r="126" spans="1:8" x14ac:dyDescent="0.3">
      <c r="A126" s="29" t="s">
        <v>33</v>
      </c>
      <c r="B126" s="35"/>
      <c r="C126" s="35"/>
      <c r="D126" s="35"/>
      <c r="E126" s="35"/>
      <c r="F126" s="35"/>
      <c r="G126" s="39"/>
      <c r="H126" s="39"/>
    </row>
    <row r="127" spans="1:8" x14ac:dyDescent="0.3">
      <c r="A127" s="29" t="s">
        <v>35</v>
      </c>
      <c r="B127" s="35"/>
      <c r="C127" s="35"/>
      <c r="D127" s="35"/>
      <c r="E127" s="35"/>
      <c r="F127" s="35"/>
      <c r="G127" s="39"/>
      <c r="H127" s="39"/>
    </row>
    <row r="128" spans="1:8" x14ac:dyDescent="0.3">
      <c r="A128" s="29" t="s">
        <v>37</v>
      </c>
      <c r="B128" s="35"/>
      <c r="C128" s="35"/>
      <c r="D128" s="35"/>
      <c r="E128" s="35"/>
      <c r="F128" s="35"/>
      <c r="G128" s="39"/>
      <c r="H128" s="39"/>
    </row>
    <row r="129" spans="1:8" x14ac:dyDescent="0.3">
      <c r="A129" s="29" t="s">
        <v>38</v>
      </c>
      <c r="B129" s="35"/>
      <c r="C129" s="35"/>
      <c r="D129" s="35"/>
      <c r="E129" s="35"/>
      <c r="F129" s="35"/>
      <c r="G129" s="39"/>
      <c r="H129" s="39"/>
    </row>
    <row r="130" spans="1:8" x14ac:dyDescent="0.3">
      <c r="A130" s="29" t="s">
        <v>39</v>
      </c>
      <c r="B130" s="35"/>
      <c r="C130" s="35"/>
      <c r="D130" s="35"/>
      <c r="E130" s="35"/>
      <c r="F130" s="35"/>
      <c r="G130" s="39"/>
      <c r="H130" s="39"/>
    </row>
    <row r="131" spans="1:8" x14ac:dyDescent="0.3">
      <c r="A131" s="29" t="s">
        <v>40</v>
      </c>
      <c r="B131" s="35"/>
      <c r="C131" s="35"/>
      <c r="D131" s="35"/>
      <c r="E131" s="35"/>
      <c r="F131" s="35"/>
      <c r="G131" s="39"/>
      <c r="H131" s="39"/>
    </row>
    <row r="132" spans="1:8" x14ac:dyDescent="0.3">
      <c r="A132" s="29" t="s">
        <v>41</v>
      </c>
      <c r="B132" s="35"/>
      <c r="C132" s="35"/>
      <c r="D132" s="35"/>
      <c r="E132" s="35"/>
      <c r="F132" s="35"/>
      <c r="G132" s="39"/>
      <c r="H132" s="39"/>
    </row>
    <row r="133" spans="1:8" x14ac:dyDescent="0.3">
      <c r="A133" s="29" t="s">
        <v>43</v>
      </c>
      <c r="B133" s="37"/>
      <c r="C133" s="37"/>
      <c r="D133" s="37"/>
      <c r="E133" s="37"/>
      <c r="F133" s="37"/>
      <c r="G133" s="39"/>
      <c r="H133" s="39"/>
    </row>
    <row r="134" spans="1:8" x14ac:dyDescent="0.3">
      <c r="A134" s="29" t="s">
        <v>44</v>
      </c>
      <c r="B134" s="35"/>
      <c r="C134" s="35"/>
      <c r="D134" s="35"/>
      <c r="E134" s="35"/>
      <c r="F134" s="35"/>
      <c r="G134" s="39"/>
      <c r="H134" s="39"/>
    </row>
    <row r="135" spans="1:8" x14ac:dyDescent="0.3">
      <c r="A135" s="29" t="s">
        <v>45</v>
      </c>
      <c r="B135" s="41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1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1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1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1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2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2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29" t="s">
        <v>46</v>
      </c>
      <c r="B136" s="35"/>
      <c r="C136" s="35"/>
      <c r="D136" s="35"/>
      <c r="E136" s="35"/>
      <c r="F136" s="35"/>
      <c r="G136" s="39"/>
      <c r="H136" s="39"/>
    </row>
    <row r="137" spans="1:8" x14ac:dyDescent="0.3">
      <c r="A137" s="29" t="s">
        <v>47</v>
      </c>
      <c r="B137" s="35"/>
      <c r="C137" s="35"/>
      <c r="D137" s="35"/>
      <c r="E137" s="35"/>
      <c r="F137" s="35"/>
      <c r="G137" s="39"/>
      <c r="H137" s="39"/>
    </row>
    <row r="138" spans="1:8" x14ac:dyDescent="0.3">
      <c r="A138" s="29" t="s">
        <v>48</v>
      </c>
      <c r="B138" s="35"/>
      <c r="C138" s="35"/>
      <c r="D138" s="35"/>
      <c r="E138" s="35"/>
      <c r="F138" s="35"/>
      <c r="G138" s="39"/>
      <c r="H138" s="39"/>
    </row>
    <row r="139" spans="1:8" ht="115.2" x14ac:dyDescent="0.3">
      <c r="A139" s="29" t="s">
        <v>49</v>
      </c>
      <c r="B139" s="35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5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5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5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5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39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39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0" spans="1:8" x14ac:dyDescent="0.3">
      <c r="B140" s="49"/>
      <c r="C140" s="49"/>
      <c r="D140" s="49"/>
      <c r="E140" s="49"/>
      <c r="F140" s="49"/>
      <c r="G140" s="49"/>
      <c r="H140" s="49"/>
    </row>
    <row r="141" spans="1:8" x14ac:dyDescent="0.3">
      <c r="A141" s="27"/>
      <c r="B141" s="45"/>
      <c r="C141" s="45"/>
      <c r="D141" s="45"/>
      <c r="E141" s="52"/>
      <c r="F141" s="52"/>
      <c r="G141" s="50"/>
      <c r="H141" s="50"/>
    </row>
    <row r="142" spans="1:8" x14ac:dyDescent="0.3">
      <c r="A142" s="1" t="s">
        <v>0</v>
      </c>
      <c r="B142" s="47"/>
      <c r="C142" s="47"/>
      <c r="D142" s="47"/>
      <c r="E142" s="53"/>
      <c r="F142" s="53"/>
      <c r="G142" s="51"/>
      <c r="H142" s="51"/>
    </row>
    <row r="143" spans="1:8" x14ac:dyDescent="0.3">
      <c r="A143" s="29" t="s">
        <v>1</v>
      </c>
      <c r="B143" s="37"/>
      <c r="C143" s="37"/>
      <c r="D143" s="35"/>
      <c r="E143" s="37"/>
      <c r="F143" s="37"/>
      <c r="G143" s="38"/>
      <c r="H143" s="38"/>
    </row>
    <row r="144" spans="1:8" x14ac:dyDescent="0.3">
      <c r="A144" s="29" t="s">
        <v>7</v>
      </c>
      <c r="B144" s="35" t="s">
        <v>9</v>
      </c>
      <c r="C144" s="35"/>
      <c r="D144" s="35"/>
      <c r="E144" s="37"/>
      <c r="F144" s="37"/>
      <c r="G144" s="38"/>
      <c r="H144" s="38"/>
    </row>
    <row r="145" spans="1:8" x14ac:dyDescent="0.3">
      <c r="A145" s="29" t="s">
        <v>8</v>
      </c>
      <c r="B145" s="35"/>
      <c r="C145" s="35"/>
      <c r="D145" s="35"/>
      <c r="E145" s="37"/>
      <c r="F145" s="37"/>
      <c r="G145" s="38"/>
      <c r="H145" s="38"/>
    </row>
    <row r="146" spans="1:8" x14ac:dyDescent="0.3">
      <c r="A146" s="29" t="s">
        <v>78</v>
      </c>
      <c r="B146" s="35" t="s">
        <v>9</v>
      </c>
      <c r="C146" s="35"/>
      <c r="D146" s="35"/>
      <c r="E146" s="37"/>
      <c r="F146" s="37"/>
      <c r="G146" s="38"/>
      <c r="H146" s="38"/>
    </row>
    <row r="147" spans="1:8" x14ac:dyDescent="0.3">
      <c r="A147" s="29" t="s">
        <v>12</v>
      </c>
      <c r="B147" s="41">
        <f>IFERROR(_xlfn.XLOOKUP(B$142, תורנויות!$B:$B, תורנויות!$D:$D, ""), "")</f>
        <v>0</v>
      </c>
      <c r="C147" s="41">
        <f>IFERROR(_xlfn.XLOOKUP(C$142, תורנויות!$B:$B, תורנויות!$D:$D, ""), "")</f>
        <v>0</v>
      </c>
      <c r="D147" s="41">
        <f>IFERROR(_xlfn.XLOOKUP(D$142, תורנויות!$B:$B, תורנויות!$D:$D, ""), "")</f>
        <v>0</v>
      </c>
      <c r="E147" s="37"/>
      <c r="F147" s="37"/>
      <c r="G147" s="38"/>
      <c r="H147" s="38"/>
    </row>
    <row r="148" spans="1:8" x14ac:dyDescent="0.3">
      <c r="A148" s="29" t="s">
        <v>18</v>
      </c>
      <c r="B148" s="41">
        <f>IFERROR(_xlfn.XLOOKUP(B$142, תורנויות!$B:$B, תורנויות!$E:$E, ""), "")</f>
        <v>0</v>
      </c>
      <c r="C148" s="41">
        <f>IFERROR(_xlfn.XLOOKUP(C$142, תורנויות!$B:$B, תורנויות!$E:$E, ""), "")</f>
        <v>0</v>
      </c>
      <c r="D148" s="41">
        <f>IFERROR(_xlfn.XLOOKUP(D$142, תורנויות!$B:$B, תורנויות!$E:$E, ""), "")</f>
        <v>0</v>
      </c>
      <c r="E148" s="37"/>
      <c r="F148" s="37"/>
      <c r="G148" s="38"/>
      <c r="H148" s="38"/>
    </row>
    <row r="149" spans="1:8" x14ac:dyDescent="0.3">
      <c r="A149" s="29" t="s">
        <v>20</v>
      </c>
      <c r="B149" s="35">
        <f>IFERROR(_xlfn.XLOOKUP(B$142, תורנויות!$B:$B, תורנויות!$F:$F, ""), "")</f>
        <v>0</v>
      </c>
      <c r="C149" s="35">
        <f>IFERROR(_xlfn.XLOOKUP(C$142, תורנויות!$B:$B, תורנויות!$F:$F, ""), "")</f>
        <v>0</v>
      </c>
      <c r="D149" s="35">
        <f>IFERROR(_xlfn.XLOOKUP(D$142, תורנויות!$B:$B, תורנויות!$F:$F, ""), "")</f>
        <v>0</v>
      </c>
      <c r="E149" s="37"/>
      <c r="F149" s="37"/>
      <c r="G149" s="38"/>
      <c r="H149" s="38"/>
    </row>
    <row r="150" spans="1:8" x14ac:dyDescent="0.3">
      <c r="A150" s="29" t="s">
        <v>77</v>
      </c>
      <c r="B150" s="35" t="s">
        <v>9</v>
      </c>
      <c r="C150" s="35"/>
      <c r="D150" s="35"/>
      <c r="E150" s="37"/>
      <c r="F150" s="37"/>
      <c r="G150" s="38"/>
      <c r="H150" s="38"/>
    </row>
    <row r="151" spans="1:8" x14ac:dyDescent="0.3">
      <c r="A151" s="29" t="s">
        <v>22</v>
      </c>
      <c r="B151" s="35"/>
      <c r="C151" s="35"/>
      <c r="D151" s="35"/>
      <c r="E151" s="37"/>
      <c r="F151" s="37"/>
      <c r="G151" s="38"/>
      <c r="H151" s="38"/>
    </row>
    <row r="152" spans="1:8" x14ac:dyDescent="0.3">
      <c r="A152" s="29" t="s">
        <v>24</v>
      </c>
      <c r="B152" s="35"/>
      <c r="C152" s="35"/>
      <c r="D152" s="35"/>
      <c r="E152" s="37"/>
      <c r="F152" s="37"/>
      <c r="G152" s="38"/>
      <c r="H152" s="38"/>
    </row>
    <row r="153" spans="1:8" x14ac:dyDescent="0.3">
      <c r="A153" s="29" t="s">
        <v>25</v>
      </c>
      <c r="B153" s="35"/>
      <c r="C153" s="35"/>
      <c r="D153" s="35"/>
      <c r="E153" s="37"/>
      <c r="F153" s="37"/>
      <c r="G153" s="38"/>
      <c r="H153" s="38"/>
    </row>
    <row r="154" spans="1:8" x14ac:dyDescent="0.3">
      <c r="A154" s="29" t="s">
        <v>73</v>
      </c>
      <c r="B154" s="35"/>
      <c r="C154" s="35"/>
      <c r="D154" s="35"/>
      <c r="E154" s="37"/>
      <c r="F154" s="37"/>
      <c r="G154" s="38"/>
      <c r="H154" s="38"/>
    </row>
    <row r="155" spans="1:8" x14ac:dyDescent="0.3">
      <c r="A155" s="29" t="s">
        <v>26</v>
      </c>
      <c r="B155" s="35"/>
      <c r="C155" s="35"/>
      <c r="D155" s="35"/>
      <c r="E155" s="37"/>
      <c r="F155" s="37"/>
      <c r="G155" s="38"/>
      <c r="H155" s="38"/>
    </row>
    <row r="156" spans="1:8" x14ac:dyDescent="0.3">
      <c r="A156" s="29" t="s">
        <v>27</v>
      </c>
      <c r="B156" s="35"/>
      <c r="C156" s="35"/>
      <c r="D156" s="35"/>
      <c r="E156" s="37"/>
      <c r="F156" s="37"/>
      <c r="G156" s="38"/>
      <c r="H156" s="38"/>
    </row>
    <row r="157" spans="1:8" x14ac:dyDescent="0.3">
      <c r="A157" s="29" t="s">
        <v>28</v>
      </c>
      <c r="B157" s="35"/>
      <c r="C157" s="35"/>
      <c r="D157" s="35"/>
      <c r="E157" s="37"/>
      <c r="F157" s="37"/>
      <c r="G157" s="38"/>
      <c r="H157" s="38"/>
    </row>
    <row r="158" spans="1:8" x14ac:dyDescent="0.3">
      <c r="A158" s="29" t="s">
        <v>29</v>
      </c>
      <c r="B158" s="35"/>
      <c r="C158" s="35"/>
      <c r="D158" s="35"/>
      <c r="E158" s="37"/>
      <c r="F158" s="37"/>
      <c r="G158" s="38"/>
      <c r="H158" s="38"/>
    </row>
    <row r="159" spans="1:8" x14ac:dyDescent="0.3">
      <c r="A159" s="29" t="s">
        <v>30</v>
      </c>
      <c r="B159" s="35"/>
      <c r="C159" s="35"/>
      <c r="D159" s="35"/>
      <c r="E159" s="37"/>
      <c r="F159" s="37"/>
      <c r="G159" s="38"/>
      <c r="H159" s="38"/>
    </row>
    <row r="160" spans="1:8" x14ac:dyDescent="0.3">
      <c r="A160" s="29" t="s">
        <v>31</v>
      </c>
      <c r="B160" s="35"/>
      <c r="C160" s="35"/>
      <c r="D160" s="35"/>
      <c r="E160" s="37"/>
      <c r="F160" s="37"/>
      <c r="G160" s="38"/>
      <c r="H160" s="38"/>
    </row>
    <row r="161" spans="1:8" x14ac:dyDescent="0.3">
      <c r="A161" s="29" t="s">
        <v>33</v>
      </c>
      <c r="B161" s="35"/>
      <c r="C161" s="35"/>
      <c r="D161" s="35"/>
      <c r="E161" s="37"/>
      <c r="F161" s="37"/>
      <c r="G161" s="38"/>
      <c r="H161" s="38"/>
    </row>
    <row r="162" spans="1:8" x14ac:dyDescent="0.3">
      <c r="A162" s="29" t="s">
        <v>35</v>
      </c>
      <c r="B162" s="35"/>
      <c r="C162" s="35"/>
      <c r="D162" s="35"/>
      <c r="E162" s="37"/>
      <c r="F162" s="37"/>
      <c r="G162" s="38"/>
      <c r="H162" s="38"/>
    </row>
    <row r="163" spans="1:8" x14ac:dyDescent="0.3">
      <c r="A163" s="29" t="s">
        <v>37</v>
      </c>
      <c r="B163" s="35"/>
      <c r="C163" s="35"/>
      <c r="D163" s="35"/>
      <c r="E163" s="37"/>
      <c r="F163" s="37"/>
      <c r="G163" s="38"/>
      <c r="H163" s="38"/>
    </row>
    <row r="164" spans="1:8" x14ac:dyDescent="0.3">
      <c r="A164" s="29" t="s">
        <v>38</v>
      </c>
      <c r="B164" s="35"/>
      <c r="C164" s="35"/>
      <c r="D164" s="35"/>
      <c r="E164" s="37"/>
      <c r="F164" s="37"/>
      <c r="G164" s="38"/>
      <c r="H164" s="38"/>
    </row>
    <row r="165" spans="1:8" x14ac:dyDescent="0.3">
      <c r="A165" s="29" t="s">
        <v>39</v>
      </c>
      <c r="B165" s="35"/>
      <c r="C165" s="35"/>
      <c r="D165" s="35"/>
      <c r="E165" s="37"/>
      <c r="F165" s="37"/>
      <c r="G165" s="38"/>
      <c r="H165" s="38"/>
    </row>
    <row r="166" spans="1:8" x14ac:dyDescent="0.3">
      <c r="A166" s="29" t="s">
        <v>40</v>
      </c>
      <c r="B166" s="35"/>
      <c r="C166" s="35"/>
      <c r="D166" s="35"/>
      <c r="E166" s="37"/>
      <c r="F166" s="37"/>
      <c r="G166" s="38"/>
      <c r="H166" s="38"/>
    </row>
    <row r="167" spans="1:8" x14ac:dyDescent="0.3">
      <c r="A167" s="29" t="s">
        <v>41</v>
      </c>
      <c r="B167" s="35"/>
      <c r="C167" s="35"/>
      <c r="D167" s="35"/>
      <c r="E167" s="37"/>
      <c r="F167" s="37"/>
      <c r="G167" s="38"/>
      <c r="H167" s="38"/>
    </row>
    <row r="168" spans="1:8" x14ac:dyDescent="0.3">
      <c r="A168" s="29" t="s">
        <v>43</v>
      </c>
      <c r="B168" s="35"/>
      <c r="C168" s="35"/>
      <c r="D168" s="35"/>
      <c r="E168" s="37"/>
      <c r="F168" s="37"/>
      <c r="G168" s="38"/>
      <c r="H168" s="38"/>
    </row>
    <row r="169" spans="1:8" x14ac:dyDescent="0.3">
      <c r="A169" s="29" t="s">
        <v>44</v>
      </c>
      <c r="B169" s="35"/>
      <c r="C169" s="35"/>
      <c r="D169" s="35"/>
      <c r="E169" s="37"/>
      <c r="F169" s="37"/>
      <c r="G169" s="38"/>
      <c r="H169" s="38"/>
    </row>
    <row r="170" spans="1:8" x14ac:dyDescent="0.3">
      <c r="A170" s="29" t="s">
        <v>45</v>
      </c>
      <c r="B170" s="41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1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1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37"/>
      <c r="F170" s="37"/>
      <c r="G170" s="38"/>
      <c r="H170" s="38"/>
    </row>
    <row r="171" spans="1:8" x14ac:dyDescent="0.3">
      <c r="A171" s="29" t="s">
        <v>46</v>
      </c>
      <c r="B171" s="35"/>
      <c r="C171" s="35"/>
      <c r="D171" s="35"/>
      <c r="E171" s="37"/>
      <c r="F171" s="37"/>
      <c r="G171" s="38"/>
      <c r="H171" s="38"/>
    </row>
    <row r="172" spans="1:8" x14ac:dyDescent="0.3">
      <c r="A172" s="29" t="s">
        <v>47</v>
      </c>
      <c r="B172" s="35"/>
      <c r="C172" s="35"/>
      <c r="D172" s="35"/>
      <c r="E172" s="37"/>
      <c r="F172" s="37"/>
      <c r="G172" s="38"/>
      <c r="H172" s="38"/>
    </row>
    <row r="173" spans="1:8" x14ac:dyDescent="0.3">
      <c r="A173" s="29" t="s">
        <v>48</v>
      </c>
      <c r="B173" s="35"/>
      <c r="C173" s="35"/>
      <c r="D173" s="35"/>
      <c r="E173" s="37"/>
      <c r="F173" s="37"/>
      <c r="G173" s="38"/>
      <c r="H173" s="38"/>
    </row>
    <row r="174" spans="1:8" ht="115.2" x14ac:dyDescent="0.3">
      <c r="A174" s="29" t="s">
        <v>49</v>
      </c>
      <c r="B174" s="35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5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5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7"/>
      <c r="F174" s="37"/>
      <c r="G174" s="38"/>
      <c r="H174" s="38"/>
    </row>
  </sheetData>
  <conditionalFormatting sqref="Q4:R22 S4:S11 J3:P22">
    <cfRule type="containsText" dxfId="11" priority="5" operator="containsText" text="~?">
      <formula>NOT(ISERROR(SEARCH("~?",J3)))</formula>
    </cfRule>
    <cfRule type="containsText" dxfId="10" priority="6" operator="containsText" text="~?">
      <formula>NOT(ISERROR(SEARCH("~?",J3)))</formula>
    </cfRule>
  </conditionalFormatting>
  <conditionalFormatting sqref="S12:S22">
    <cfRule type="containsText" dxfId="9" priority="3" operator="containsText" text="~?">
      <formula>NOT(ISERROR(SEARCH("~?",S12)))</formula>
    </cfRule>
    <cfRule type="containsText" dxfId="8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workbookViewId="0">
      <pane xSplit="1" ySplit="3" topLeftCell="B4" activePane="bottomRight" state="frozen"/>
      <selection pane="topRight"/>
      <selection pane="bottomLeft"/>
      <selection pane="bottomRight" activeCell="J19" sqref="J19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4" t="s">
        <v>51</v>
      </c>
      <c r="D1" s="55"/>
      <c r="E1" s="55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34" t="s">
        <v>80</v>
      </c>
      <c r="R3" s="43" t="s">
        <v>79</v>
      </c>
    </row>
    <row r="4" spans="2:18" ht="43.2" x14ac:dyDescent="0.3">
      <c r="B4" s="12"/>
      <c r="C4" s="8"/>
      <c r="D4" s="44"/>
      <c r="E4" s="44"/>
      <c r="F4" s="13"/>
      <c r="H4" s="28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ארדשירוב, ברג, גלינסקיה, דקל, הסר, חדיג'ה, לקן, סעוב, עסלי, פריאנטה, שמואל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75</v>
      </c>
      <c r="Q4" s="19" t="s">
        <v>66</v>
      </c>
    </row>
    <row r="5" spans="2:18" ht="43.2" x14ac:dyDescent="0.3">
      <c r="B5" s="12"/>
      <c r="C5" s="8"/>
      <c r="D5" s="44"/>
      <c r="E5" s="44"/>
      <c r="F5" s="13"/>
      <c r="H5" s="28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ארדשירוב, ברג, גלינסקיה, דקל, הסר, חדיג'ה, לקן, סעוב, עסלי, פריאנטה, שמואל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44"/>
      <c r="E6" s="44"/>
      <c r="F6" s="13"/>
      <c r="H6" s="28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ארדשירוב, ברג, גלינסקיה, דקל, הסר, חדיג'ה, לקן, סעוב, עסלי, פריאנטה, שמואל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28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ארדשירוב, ברג, גלינסקיה, דקל, הסר, חדיג'ה, לקן, סעוב, עסלי, פריאנטה, שמואל</v>
      </c>
      <c r="I7" s="20" t="s">
        <v>3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28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ארדשירוב, ברג, גלינסקיה, דקל, הסר, חדיג'ה, לקן, סעוב, עסלי, פריאנטה, שמואל</v>
      </c>
      <c r="I8" s="20" t="s">
        <v>4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28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ארדשירוב, ברג, גלינסקיה, דקל, הסר, חדיג'ה, לקן, סעוב, עסלי, פריאנטה, שמואל</v>
      </c>
      <c r="I9" s="20" t="s">
        <v>5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28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ארדשירוב, ברג, גלינסקיה, דקל, הסר, חדיג'ה, לקן, סעוב, עסלי, פריאנטה, שמואל</v>
      </c>
      <c r="I10" s="20" t="s">
        <v>6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28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ארדשירוב, ברג, גלינסקיה, דקל, הסר, חדיג'ה, לקן, סעוב, עסלי, פריאנטה, שמואל</v>
      </c>
      <c r="I11" s="20" t="s">
        <v>34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28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ארדשירוב, ברג, גלינסקיה, דקל, הסר, חדיג'ה, לקן, סעוב, עסלי, פריאנטה, שמואל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28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ארדשירוב, ברג, גלינסקיה, דקל, הסר, חדיג'ה, לקן, סעוב, עסלי, פריאנטה, שמואל</v>
      </c>
      <c r="I13" s="21" t="s">
        <v>10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28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ארדשירוב, ברג, גלינסקיה, דקל, הסר, חדיג'ה, לקן, סעוב, עסלי, פריאנטה, שמואל</v>
      </c>
      <c r="I14" s="21" t="s">
        <v>23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28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ארדשירוב, ברג, גלינסקיה, דקל, הסר, חדיג'ה, לקן, סעוב, עסלי, פריאנטה, שמואל</v>
      </c>
      <c r="I15" s="21" t="s">
        <v>11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28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ארדשירוב, ברג, גלינסקיה, דקל, הסר, חדיג'ה, לקן, סעוב, עסלי, פריאנטה, שמואל</v>
      </c>
      <c r="I16" s="21" t="s">
        <v>14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28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ארדשירוב, ברג, גלינסקיה, דקל, הסר, חדיג'ה, לקן, סעוב, עסלי, פריאנטה, שמואל</v>
      </c>
      <c r="I17" s="21" t="s">
        <v>17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28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ארדשירוב, ברג, גלינסקיה, דקל, הסר, חדיג'ה, לקן, סעוב, עסלי, פריאנטה, שמואל</v>
      </c>
      <c r="I18" s="21" t="s">
        <v>15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28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ארדשירוב, ברג, גלינסקיה, דקל, הסר, חדיג'ה, לקן, סעוב, עסלי, פריאנטה, שמואל</v>
      </c>
      <c r="I19" s="21" t="s">
        <v>19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28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ארדשירוב, ברג, גלינסקיה, דקל, הסר, חדיג'ה, לקן, סעוב, עסלי, פריאנטה, שמואל</v>
      </c>
      <c r="I20" s="21" t="s">
        <v>16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28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ארדשירוב, ברג, גלינסקיה, דקל, הסר, חדיג'ה, לקן, סעוב, עסלי, פריאנטה, שמואל</v>
      </c>
      <c r="I21" s="21" t="s">
        <v>13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28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ארדשירוב, ברג, גלינסקיה, דקל, הסר, חדיג'ה, לקן, סעוב, עסלי, פריאנטה, שמואל</v>
      </c>
      <c r="I22" s="21" t="s">
        <v>50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28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ארדשירוב, ברג, גלינסקיה, דקל, הסר, חדיג'ה, לקן, סעוב, עסלי, פריאנטה, שמואל</v>
      </c>
      <c r="I23" s="21" t="s">
        <v>9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28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ארדשירוב, ברג, גלינסקיה, דקל, הסר, חדיג'ה, לקן, סעוב, עסלי, פריאנטה, שמואל</v>
      </c>
    </row>
    <row r="25" spans="2:17" ht="43.2" x14ac:dyDescent="0.3">
      <c r="B25" s="22"/>
      <c r="C25" s="23"/>
      <c r="D25" s="23"/>
      <c r="E25" s="23"/>
      <c r="F25" s="24"/>
      <c r="H25" s="28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ארדשירוב, ברג, גלינסקיה, דקל, הסר, חדיג'ה, לקן, סעוב, עסלי, פריאנטה, שמואל</v>
      </c>
    </row>
    <row r="26" spans="2:17" ht="43.2" x14ac:dyDescent="0.3">
      <c r="B26" s="22"/>
      <c r="C26" s="23"/>
      <c r="D26" s="23"/>
      <c r="E26" s="23"/>
      <c r="F26" s="24"/>
      <c r="H26" s="28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ארדשירוב, ברג, גלינסקיה, דקל, הסר, חדיג'ה, לקן, סעוב, עסלי, פריאנטה, שמואל</v>
      </c>
    </row>
    <row r="27" spans="2:17" ht="43.2" x14ac:dyDescent="0.3">
      <c r="B27" s="22"/>
      <c r="C27" s="23"/>
      <c r="D27" s="23"/>
      <c r="E27" s="23"/>
      <c r="F27" s="24"/>
      <c r="H27" s="28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ארדשירוב, ברג, גלינסקיה, דקל, הסר, חדיג'ה, לקן, סעוב, עסלי, פריאנטה, שמואל</v>
      </c>
    </row>
    <row r="28" spans="2:17" ht="43.2" x14ac:dyDescent="0.3">
      <c r="B28" s="22"/>
      <c r="C28" s="23"/>
      <c r="D28" s="23"/>
      <c r="E28" s="23"/>
      <c r="F28" s="24"/>
      <c r="H28" s="28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ארדשירוב, ברג, גלינסקיה, דקל, הסר, חדיג'ה, לקן, סעוב, עסלי, פריאנטה, שמואל</v>
      </c>
    </row>
    <row r="29" spans="2:17" ht="43.2" x14ac:dyDescent="0.3">
      <c r="B29" s="22"/>
      <c r="C29" s="23"/>
      <c r="D29" s="23"/>
      <c r="E29" s="23"/>
      <c r="F29" s="24"/>
      <c r="H29" s="28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ארדשירוב, ברג, גלינסקיה, דקל, הסר, חדיג'ה, לקן, סעוב, עסלי, פריאנטה, שמואל</v>
      </c>
    </row>
    <row r="30" spans="2:17" ht="43.2" x14ac:dyDescent="0.3">
      <c r="B30" s="22"/>
      <c r="C30" s="23"/>
      <c r="D30" s="23"/>
      <c r="E30" s="23"/>
      <c r="F30" s="24"/>
      <c r="H30" s="28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ארדשירוב, ברג, גלינסקיה, דקל, הסר, חדיג'ה, לקן, סעוב, עסלי, פריאנטה, שמואל</v>
      </c>
    </row>
    <row r="31" spans="2:17" ht="43.2" x14ac:dyDescent="0.3">
      <c r="B31" s="22"/>
      <c r="C31" s="23"/>
      <c r="D31" s="23"/>
      <c r="E31" s="23"/>
      <c r="F31" s="24"/>
      <c r="H31" s="28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ארדשירוב, ברג, גלינסקיה, דקל, הסר, חדיג'ה, לקן, סעוב, עסלי, פריאנטה, שמואל</v>
      </c>
    </row>
    <row r="32" spans="2:17" ht="43.2" x14ac:dyDescent="0.3">
      <c r="B32" s="12"/>
      <c r="C32" s="8"/>
      <c r="D32" s="8"/>
      <c r="E32" s="8"/>
      <c r="F32" s="13"/>
      <c r="H32" s="28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ארדשירוב, ברג, גלינסקיה, דקל, הסר, חדיג'ה, לקן, סעוב, עסלי, פריאנטה, שמואל</v>
      </c>
    </row>
    <row r="33" spans="2:8" ht="43.2" x14ac:dyDescent="0.3">
      <c r="B33" s="12"/>
      <c r="C33" s="8"/>
      <c r="D33" s="8"/>
      <c r="E33" s="8"/>
      <c r="F33" s="13"/>
      <c r="H33" s="28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ארדשירוב, ברג, גלינסקיה, דקל, הסר, חדיג'ה, לקן, סעוב, עסלי, פריאנטה, שמואל</v>
      </c>
    </row>
    <row r="34" spans="2:8" ht="43.8" thickBot="1" x14ac:dyDescent="0.35">
      <c r="B34" s="14"/>
      <c r="C34" s="15"/>
      <c r="D34" s="15"/>
      <c r="E34" s="15"/>
      <c r="F34" s="16"/>
      <c r="H34" s="28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ארדשירוב, ברג, גלינסקיה, דקל, הסר, חדיג'ה, לקן, סעוב, עסלי, פריאנטה, שמואל</v>
      </c>
    </row>
  </sheetData>
  <mergeCells count="1">
    <mergeCell ref="C1:E1"/>
  </mergeCells>
  <conditionalFormatting sqref="J5:J12 M5:M12 Q5:Q23">
    <cfRule type="containsText" dxfId="7" priority="13" operator="containsText" text="~?">
      <formula>NOT(ISERROR(SEARCH("~?",J5)))</formula>
    </cfRule>
    <cfRule type="containsText" dxfId="6" priority="14" operator="containsText" text="~?">
      <formula>NOT(ISERROR(SEARCH("~?",J5)))</formula>
    </cfRule>
  </conditionalFormatting>
  <conditionalFormatting sqref="K13:P23">
    <cfRule type="containsText" dxfId="5" priority="9" operator="containsText" text="~?">
      <formula>NOT(ISERROR(SEARCH("~?",K13)))</formula>
    </cfRule>
    <cfRule type="containsText" dxfId="4" priority="10" operator="containsText" text="~?">
      <formula>NOT(ISERROR(SEARCH("~?",K13)))</formula>
    </cfRule>
  </conditionalFormatting>
  <conditionalFormatting sqref="I5:I13 I20:I23">
    <cfRule type="containsText" dxfId="3" priority="3" operator="containsText" text="~?">
      <formula>NOT(ISERROR(SEARCH("~?",I5)))</formula>
    </cfRule>
    <cfRule type="containsText" dxfId="2" priority="4" operator="containsText" text="~?">
      <formula>NOT(ISERROR(SEARCH("~?",I5)))</formula>
    </cfRule>
  </conditionalFormatting>
  <conditionalFormatting sqref="I14:I19">
    <cfRule type="containsText" dxfId="1" priority="1" operator="containsText" text="~?">
      <formula>NOT(ISERROR(SEARCH("~?",I14)))</formula>
    </cfRule>
    <cfRule type="containsText" dxfId="0" priority="2" operator="containsText" text="~?">
      <formula>NOT(ISERROR(SEARCH("~?",I14)))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10"/>
  <sheetViews>
    <sheetView rightToLeft="1" workbookViewId="0">
      <selection activeCell="C10" sqref="C10"/>
    </sheetView>
  </sheetViews>
  <sheetFormatPr defaultRowHeight="14.4" x14ac:dyDescent="0.3"/>
  <cols>
    <col min="1" max="4" width="18" customWidth="1"/>
  </cols>
  <sheetData>
    <row r="2" spans="1:5" ht="18" x14ac:dyDescent="0.3">
      <c r="A2" s="54" t="s">
        <v>59</v>
      </c>
      <c r="B2" s="55"/>
      <c r="C2" s="55"/>
      <c r="D2" s="55"/>
      <c r="E2" s="55"/>
    </row>
    <row r="4" spans="1:5" x14ac:dyDescent="0.3">
      <c r="A4" s="6"/>
      <c r="B4" s="6"/>
      <c r="C4" s="6"/>
      <c r="D4" s="6"/>
    </row>
    <row r="5" spans="1:5" x14ac:dyDescent="0.3">
      <c r="A5" s="2" t="str" cm="1">
        <f t="array" ref="A5">IFERROR(INDEX(A$11:A$34,_xlfn.AGGREGATE(15,6,(ROW(A$11:A$34)-ROW(A$11)+1)/(A$11:A$34&lt;&gt;""),1)),"")</f>
        <v/>
      </c>
      <c r="B5" s="2" t="str" cm="1">
        <f t="array" ref="B5">IFERROR(INDEX(B$11:B$34,_xlfn.AGGREGATE(15,6,(ROW(B$11:B$34)-ROW(B$11)+1)/(B$11:B$34&lt;&gt;""),1)),"")</f>
        <v/>
      </c>
      <c r="C5" s="2" t="str" cm="1">
        <f t="array" ref="C5">IFERROR(INDEX(C$11:C$34,_xlfn.AGGREGATE(15,6,(ROW(C$11:C$34)-ROW(C$11)+1)/(C$11:C$34&lt;&gt;""),1)),"")</f>
        <v/>
      </c>
      <c r="D5" s="2" t="str" cm="1">
        <f t="array" ref="D5">IFERROR(INDEX(D$11:D$34,_xlfn.AGGREGATE(15,6,(ROW(D$11:D$34)-ROW(D$11)+1)/(D$11:D$34&lt;&gt;""),1)),"")</f>
        <v/>
      </c>
    </row>
    <row r="6" spans="1:5" x14ac:dyDescent="0.3">
      <c r="A6" s="2" t="str" cm="1">
        <f t="array" ref="A6">IFERROR(INDEX(A$11:A$34,_xlfn.AGGREGATE(15,6,(ROW(A$11:A$34)-ROW(A$11)+1)/(A$11:A$34&lt;&gt;""),2)),"")</f>
        <v/>
      </c>
      <c r="B6" s="2" t="str" cm="1">
        <f t="array" ref="B6">IFERROR(INDEX(B$11:B$34,_xlfn.AGGREGATE(15,6,(ROW(B$11:B$34)-ROW(B$11)+1)/(B$11:B$34&lt;&gt;""),2)),"")</f>
        <v/>
      </c>
      <c r="C6" s="2" t="str" cm="1">
        <f t="array" ref="C6">IFERROR(INDEX(C$11:C$34,_xlfn.AGGREGATE(15,6,(ROW(C$11:C$34)-ROW(C$11)+1)/(C$11:C$34&lt;&gt;""),2)),"")</f>
        <v/>
      </c>
      <c r="D6" s="2" t="str" cm="1">
        <f t="array" ref="D6">IFERROR(INDEX(D$11:D$34,_xlfn.AGGREGATE(15,6,(ROW(D$11:D$34)-ROW(D$11)+1)/(D$11:D$34&lt;&gt;""),2)),"")</f>
        <v/>
      </c>
    </row>
    <row r="7" spans="1:5" x14ac:dyDescent="0.3">
      <c r="A7" s="2" t="str" cm="1">
        <f t="array" ref="A7">IFERROR(INDEX(A$11:A$34,_xlfn.AGGREGATE(15,6,(ROW(A$11:A$34)-ROW(A$11)+1)/(A$11:A$34&lt;&gt;""),3)),"")</f>
        <v/>
      </c>
      <c r="B7" s="2" t="str" cm="1">
        <f t="array" ref="B7">IFERROR(INDEX(B$11:B$34,_xlfn.AGGREGATE(15,6,(ROW(B$11:B$34)-ROW(B$11)+1)/(B$11:B$34&lt;&gt;""),3)),"")</f>
        <v/>
      </c>
      <c r="C7" s="2" t="str" cm="1">
        <f t="array" ref="C7">IFERROR(INDEX(C$11:C$34,_xlfn.AGGREGATE(15,6,(ROW(C$11:C$34)-ROW(C$11)+1)/(C$11:C$34&lt;&gt;""),3)),"")</f>
        <v/>
      </c>
      <c r="D7" s="2" t="str" cm="1">
        <f t="array" ref="D7">IFERROR(INDEX(D$11:D$34,_xlfn.AGGREGATE(15,6,(ROW(D$11:D$34)-ROW(D$11)+1)/(D$11:D$34&lt;&gt;""),3)),"")</f>
        <v/>
      </c>
    </row>
    <row r="8" spans="1:5" x14ac:dyDescent="0.3">
      <c r="A8" s="2" t="str" cm="1">
        <f t="array" ref="A8">IFERROR(INDEX(A$11:A$34,_xlfn.AGGREGATE(15,6,(ROW(A$11:A$34)-ROW(A$11)+1)/(A$11:A$34&lt;&gt;""),4)),"")</f>
        <v/>
      </c>
      <c r="B8" s="2" t="str" cm="1">
        <f t="array" ref="B8">IFERROR(INDEX(B$11:B$34,_xlfn.AGGREGATE(15,6,(ROW(B$11:B$34)-ROW(B$11)+1)/(B$11:B$34&lt;&gt;""),4)),"")</f>
        <v/>
      </c>
      <c r="C8" s="2" t="str" cm="1">
        <f t="array" ref="C8">IFERROR(INDEX(C$11:C$34,_xlfn.AGGREGATE(15,6,(ROW(C$11:C$34)-ROW(C$11)+1)/(C$11:C$34&lt;&gt;""),4)),"")</f>
        <v/>
      </c>
      <c r="D8" s="2" t="str" cm="1">
        <f t="array" ref="D8">IFERROR(INDEX(D$11:D$34,_xlfn.AGGREGATE(15,6,(ROW(D$11:D$34)-ROW(D$11)+1)/(D$11:D$34&lt;&gt;""),4)),"")</f>
        <v/>
      </c>
    </row>
    <row r="9" spans="1:5" x14ac:dyDescent="0.3">
      <c r="A9" s="2" t="str" cm="1">
        <f t="array" ref="A9">IFERROR(INDEX(A$11:A$34,_xlfn.AGGREGATE(15,6,(ROW(A$11:A$34)-ROW(A$11)+1)/(A$11:A$34&lt;&gt;""),5)),"")</f>
        <v/>
      </c>
      <c r="B9" s="2" t="str" cm="1">
        <f t="array" ref="B9">IFERROR(INDEX(B$11:B$34,_xlfn.AGGREGATE(15,6,(ROW(B$11:B$34)-ROW(B$11)+1)/(B$11:B$34&lt;&gt;""),5)),"")</f>
        <v/>
      </c>
      <c r="C9" s="2" t="str" cm="1">
        <f t="array" ref="C9">IFERROR(INDEX(C$11:C$34,_xlfn.AGGREGATE(15,6,(ROW(C$11:C$34)-ROW(C$11)+1)/(C$11:C$34&lt;&gt;""),5)),"")</f>
        <v/>
      </c>
      <c r="D9" s="2" t="str" cm="1">
        <f t="array" ref="D9">IFERROR(INDEX(D$11:D$34,_xlfn.AGGREGATE(15,6,(ROW(D$11:D$34)-ROW(D$11)+1)/(D$11:D$34&lt;&gt;""),5)),"")</f>
        <v/>
      </c>
    </row>
    <row r="10" spans="1:5" x14ac:dyDescent="0.3">
      <c r="A10" t="str" cm="1">
        <f t="array" ref="A10">IFERROR(INDEX(A$11:A$34,_xlfn.AGGREGATE(15,6,(ROW(A$11:A$34)-ROW(A$11)+1)/(A$11:A$34&lt;&gt;""),6)),"")</f>
        <v/>
      </c>
      <c r="B10" t="str" cm="1">
        <f t="array" ref="B10">IFERROR(INDEX(B$11:B$34,_xlfn.AGGREGATE(15,6,(ROW(B$11:B$34)-ROW(B$11)+1)/(B$11:B$34&lt;&gt;""),6)),"")</f>
        <v/>
      </c>
      <c r="C10" t="str" cm="1">
        <f t="array" ref="C10">IFERROR(INDEX(C$11:C$34,_xlfn.AGGREGATE(15,6,(ROW(C$11:C$34)-ROW(C$11)+1)/(C$11:C$34&lt;&gt;""),6)),"")</f>
        <v/>
      </c>
      <c r="D10" t="str" cm="1">
        <f t="array" ref="D10">IFERROR(INDEX(D$11:D$34,_xlfn.AGGREGATE(15,6,(ROW(D$11:D$34)-ROW(D$11)+1)/(D$11:D$34&lt;&gt;""),6)),"")</f>
        <v/>
      </c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tabSelected="1" workbookViewId="0">
      <pane xSplit="2" ySplit="3" topLeftCell="C4" activePane="bottomRight" state="frozen"/>
      <selection pane="topRight"/>
      <selection pane="bottomLeft"/>
      <selection pane="bottomRight" activeCell="E19" sqref="E19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4" t="s">
        <v>60</v>
      </c>
      <c r="D1" s="55"/>
      <c r="E1" s="55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2026-06-18T09:11:07Z</dcterms:modified>
</cp:coreProperties>
</file>