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lom\Google Drive\Neurology\Projects\Neuro Shift\neuroshift-py\templates\"/>
    </mc:Choice>
  </mc:AlternateContent>
  <xr:revisionPtr revIDLastSave="0" documentId="13_ncr:1_{D0C2F101-BBB5-4F37-8883-FBAD17B7CF4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2026-03" sheetId="1" r:id="rId1"/>
    <sheet name="תורנויות" sheetId="2" r:id="rId2"/>
    <sheet name="עובדים" sheetId="3" r:id="rId3"/>
    <sheet name="ימי שישי" sheetId="4" r:id="rId4"/>
    <sheet name="ייעוצים" sheetId="5" r:id="rId5"/>
  </sheets>
  <definedNames>
    <definedName name="_xleta.TEXTJOIN" hidden="1" xlm="1">#NAME?</definedName>
    <definedName name="_xlpm.all" hidden="1" xlm="1">#NAME?</definedName>
    <definedName name="_xlpm.all_workers" hidden="1" xlm="1">#NAME?</definedName>
    <definedName name="_xlpm.blocked" hidden="1" xlm="1">#NAME?</definedName>
    <definedName name="_xlpm.blocked_raw" hidden="1" xlm="1">#NAME?</definedName>
    <definedName name="_xlpm.blockHasName" hidden="1" xlm="1">#NAME?</definedName>
    <definedName name="_xlpm.exclude" hidden="1" xlm="1">#NAME?</definedName>
    <definedName name="_xlpm.keep" hidden="1" xlm="1">#NAME?</definedName>
    <definedName name="_xlpm.listed" hidden="1" xlm="1">#NAME?</definedName>
    <definedName name="_xlpm.name" hidden="1" xlm="1">#NAME?</definedName>
    <definedName name="_xlpm.raw" hidden="1" xlm="1">#NAME?</definedName>
    <definedName name="_xlpm.rng" hidden="1" xlm="1">#NAME?</definedName>
    <definedName name="_xlpm.tokens" hidden="1" xlm="1">#NAME?</definedName>
    <definedName name="_xlnm.Print_Area" localSheetId="0">'2026-03'!$A$1:$H$33,'2026-03'!$A$36:$H$68,'2026-03'!$A$71:$H$103,'2026-03'!$A$106:$H$138,'2026-03'!$A$141:$H$173</definedName>
    <definedName name="_xlnm.Print_Area" localSheetId="1">תורנויות!$A$1:$G$36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" i="1" l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2" i="1" a="1"/>
  <c r="P12" i="1" s="1"/>
  <c r="P11" i="1" a="1"/>
  <c r="P11" i="1" s="1"/>
  <c r="P10" i="1" a="1"/>
  <c r="P10" i="1" s="1"/>
  <c r="P9" i="1" a="1"/>
  <c r="P9" i="1" s="1"/>
  <c r="P8" i="1" a="1"/>
  <c r="P8" i="1" s="1"/>
  <c r="P7" i="1" a="1"/>
  <c r="P7" i="1" s="1"/>
  <c r="P6" i="1" a="1"/>
  <c r="P6" i="1" s="1"/>
  <c r="P5" i="1" a="1"/>
  <c r="P5" i="1" s="1"/>
  <c r="N22" i="1" a="1"/>
  <c r="N22" i="1" s="1"/>
  <c r="N21" i="1" a="1"/>
  <c r="N21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M22" i="1" a="1"/>
  <c r="M22" i="1" s="1"/>
  <c r="M21" i="1" a="1"/>
  <c r="M21" i="1" s="1"/>
  <c r="M20" i="1" a="1"/>
  <c r="M20" i="1" s="1"/>
  <c r="M19" i="1" a="1"/>
  <c r="M19" i="1" s="1"/>
  <c r="M18" i="1" a="1"/>
  <c r="M18" i="1" s="1"/>
  <c r="M17" i="1" a="1"/>
  <c r="M17" i="1" s="1"/>
  <c r="M16" i="1" a="1"/>
  <c r="M16" i="1" s="1"/>
  <c r="M15" i="1" a="1"/>
  <c r="M15" i="1" s="1"/>
  <c r="M14" i="1" a="1"/>
  <c r="M14" i="1" s="1"/>
  <c r="M13" i="1" a="1"/>
  <c r="M13" i="1" s="1"/>
  <c r="M12" i="1" a="1"/>
  <c r="M12" i="1" s="1"/>
  <c r="M11" i="1" a="1"/>
  <c r="M11" i="1" s="1"/>
  <c r="M10" i="1" a="1"/>
  <c r="M10" i="1" s="1"/>
  <c r="M9" i="1" a="1"/>
  <c r="M9" i="1" s="1"/>
  <c r="M8" i="1" a="1"/>
  <c r="M8" i="1" s="1"/>
  <c r="M7" i="1" a="1"/>
  <c r="M7" i="1" s="1"/>
  <c r="M6" i="1" a="1"/>
  <c r="M6" i="1" s="1"/>
  <c r="M5" i="1" a="1"/>
  <c r="M5" i="1" s="1"/>
  <c r="M4" i="1" a="1"/>
  <c r="M4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 s="1"/>
  <c r="K7" i="1" a="1"/>
  <c r="K7" i="1" s="1"/>
  <c r="K6" i="1" a="1"/>
  <c r="K6" i="1" s="1"/>
  <c r="K5" i="1" a="1"/>
  <c r="K5" i="1" s="1"/>
  <c r="K4" i="1" a="1"/>
  <c r="K4" i="1" s="1"/>
  <c r="D10" i="4" a="1"/>
  <c r="D10" i="4" s="1"/>
  <c r="C10" i="4" a="1"/>
  <c r="C10" i="4" s="1"/>
  <c r="B10" i="4" a="1"/>
  <c r="B10" i="4" s="1"/>
  <c r="A10" i="4" a="1"/>
  <c r="A10" i="4" s="1"/>
  <c r="D9" i="4" a="1"/>
  <c r="D9" i="4" s="1"/>
  <c r="C9" i="4" a="1"/>
  <c r="C9" i="4" s="1"/>
  <c r="B9" i="4" a="1"/>
  <c r="B9" i="4" s="1"/>
  <c r="A9" i="4" a="1"/>
  <c r="A9" i="4" s="1"/>
  <c r="D8" i="4" a="1"/>
  <c r="D8" i="4" s="1"/>
  <c r="C8" i="4" a="1"/>
  <c r="C8" i="4" s="1"/>
  <c r="B8" i="4" a="1"/>
  <c r="B8" i="4" s="1"/>
  <c r="A8" i="4" a="1"/>
  <c r="A8" i="4" s="1"/>
  <c r="D7" i="4" a="1"/>
  <c r="D7" i="4" s="1"/>
  <c r="C7" i="4" a="1"/>
  <c r="C7" i="4" s="1"/>
  <c r="B7" i="4" a="1"/>
  <c r="B7" i="4" s="1"/>
  <c r="A7" i="4" a="1"/>
  <c r="A7" i="4" s="1"/>
  <c r="D6" i="4" a="1"/>
  <c r="D6" i="4" s="1"/>
  <c r="C6" i="4" a="1"/>
  <c r="C6" i="4" s="1"/>
  <c r="B6" i="4" a="1"/>
  <c r="B6" i="4" s="1"/>
  <c r="A6" i="4" a="1"/>
  <c r="A6" i="4" s="1"/>
  <c r="D5" i="4" a="1"/>
  <c r="D5" i="4" s="1"/>
  <c r="C5" i="4" a="1"/>
  <c r="C5" i="4" s="1"/>
  <c r="B5" i="4" a="1"/>
  <c r="B5" i="4" s="1"/>
  <c r="A5" i="4" a="1"/>
  <c r="A5" i="4" s="1"/>
  <c r="B34" i="1" a="1"/>
  <c r="B34" i="1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H16" i="2" a="1"/>
  <c r="H16" i="2" s="1"/>
  <c r="H15" i="2" a="1"/>
  <c r="H15" i="2" s="1"/>
  <c r="H14" i="2" a="1"/>
  <c r="H14" i="2" s="1"/>
  <c r="H13" i="2" a="1"/>
  <c r="H13" i="2" s="1"/>
  <c r="H12" i="2" a="1"/>
  <c r="H12" i="2" s="1"/>
  <c r="H11" i="2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13" i="2" a="1"/>
  <c r="P13" i="2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P4" i="1" a="1"/>
  <c r="P4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4" i="1" a="1"/>
  <c r="O4" i="1" s="1"/>
  <c r="O5" i="1" a="1"/>
  <c r="O5" i="1" s="1"/>
  <c r="D149" i="1"/>
  <c r="C149" i="1"/>
  <c r="D148" i="1"/>
  <c r="C148" i="1"/>
  <c r="D147" i="1"/>
  <c r="C147" i="1"/>
  <c r="B149" i="1"/>
  <c r="B148" i="1"/>
  <c r="B147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9" i="1"/>
  <c r="G9" i="1"/>
  <c r="F9" i="1"/>
  <c r="E9" i="1"/>
  <c r="D9" i="1"/>
  <c r="C9" i="1"/>
  <c r="B9" i="1"/>
  <c r="H8" i="1"/>
  <c r="G8" i="1"/>
  <c r="F8" i="1"/>
  <c r="E8" i="1"/>
  <c r="D8" i="1"/>
  <c r="C8" i="1"/>
  <c r="B170" i="1" l="1"/>
  <c r="B174" i="1" s="1" a="1"/>
  <c r="B174" i="1" s="1"/>
  <c r="R8" i="1" a="1"/>
  <c r="R8" i="1" s="1"/>
  <c r="R9" i="1" a="1"/>
  <c r="R9" i="1" s="1"/>
  <c r="R6" i="1" a="1"/>
  <c r="R6" i="1" s="1"/>
  <c r="R4" i="1" a="1"/>
  <c r="R4" i="1" s="1"/>
  <c r="R10" i="1" a="1"/>
  <c r="R10" i="1" s="1"/>
  <c r="R7" i="1" a="1"/>
  <c r="R7" i="1" s="1"/>
  <c r="R5" i="1" a="1"/>
  <c r="R5" i="1" s="1"/>
  <c r="R11" i="1" a="1"/>
  <c r="R11" i="1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13" i="2" a="1"/>
  <c r="M13" i="2" s="1"/>
  <c r="B8" i="1"/>
  <c r="H7" i="1"/>
  <c r="G7" i="1"/>
  <c r="F7" i="1"/>
  <c r="E7" i="1"/>
  <c r="D7" i="1"/>
  <c r="C7" i="1"/>
  <c r="B7" i="1"/>
  <c r="L12" i="1" l="1" a="1"/>
  <c r="L12" i="1" s="1"/>
  <c r="L22" i="1" a="1"/>
  <c r="L22" i="1" s="1"/>
  <c r="L16" i="1" a="1"/>
  <c r="L16" i="1" s="1"/>
  <c r="L10" i="1" a="1"/>
  <c r="L10" i="1" s="1"/>
  <c r="L6" i="1" a="1"/>
  <c r="L6" i="1" s="1"/>
  <c r="L21" i="1" a="1"/>
  <c r="L21" i="1" s="1"/>
  <c r="L15" i="1" a="1"/>
  <c r="L15" i="1" s="1"/>
  <c r="L9" i="1" a="1"/>
  <c r="L9" i="1" s="1"/>
  <c r="L20" i="1" a="1"/>
  <c r="L20" i="1" s="1"/>
  <c r="L14" i="1" a="1"/>
  <c r="L14" i="1" s="1"/>
  <c r="L8" i="1" a="1"/>
  <c r="L8" i="1" s="1"/>
  <c r="L19" i="1" a="1"/>
  <c r="L19" i="1" s="1"/>
  <c r="L13" i="1" a="1"/>
  <c r="L13" i="1" s="1"/>
  <c r="L7" i="1" a="1"/>
  <c r="L7" i="1" s="1"/>
  <c r="L18" i="1" a="1"/>
  <c r="L18" i="1" s="1"/>
  <c r="L17" i="1" a="1"/>
  <c r="L17" i="1" s="1"/>
  <c r="L11" i="1" a="1"/>
  <c r="L11" i="1" s="1"/>
  <c r="L5" i="1" a="1"/>
  <c r="L5" i="1" s="1"/>
  <c r="L4" i="1" a="1"/>
  <c r="L4" i="1" s="1"/>
  <c r="Q20" i="1" a="1"/>
  <c r="Q20" i="1" s="1"/>
  <c r="Q16" i="1" a="1"/>
  <c r="Q16" i="1" s="1"/>
  <c r="Q12" i="1" a="1"/>
  <c r="Q12" i="1" s="1"/>
  <c r="Q19" i="1" a="1"/>
  <c r="Q19" i="1" s="1"/>
  <c r="Q15" i="1" a="1"/>
  <c r="Q15" i="1" s="1"/>
  <c r="Q22" i="1" a="1"/>
  <c r="Q22" i="1" s="1"/>
  <c r="Q18" i="1" a="1"/>
  <c r="Q18" i="1" s="1"/>
  <c r="Q14" i="1" a="1"/>
  <c r="Q14" i="1" s="1"/>
  <c r="Q21" i="1" a="1"/>
  <c r="Q21" i="1" s="1"/>
  <c r="Q17" i="1" a="1"/>
  <c r="Q17" i="1" s="1"/>
  <c r="Q13" i="1" a="1"/>
  <c r="Q13" i="1" s="1"/>
  <c r="O23" i="2" a="1"/>
  <c r="O23" i="2" s="1"/>
  <c r="N23" i="2" a="1"/>
  <c r="N23" i="2" s="1"/>
  <c r="L23" i="2" a="1"/>
  <c r="L23" i="2" s="1"/>
  <c r="K23" i="2" a="1"/>
  <c r="K23" i="2" s="1"/>
  <c r="O22" i="2" a="1"/>
  <c r="O22" i="2" s="1"/>
  <c r="N22" i="2" a="1"/>
  <c r="N22" i="2" s="1"/>
  <c r="L22" i="2" a="1"/>
  <c r="L22" i="2" s="1"/>
  <c r="K22" i="2" a="1"/>
  <c r="K22" i="2" s="1"/>
  <c r="O21" i="2" a="1"/>
  <c r="O21" i="2" s="1"/>
  <c r="N21" i="2" a="1"/>
  <c r="N21" i="2" s="1"/>
  <c r="L21" i="2" a="1"/>
  <c r="L21" i="2" s="1"/>
  <c r="K21" i="2" a="1"/>
  <c r="K21" i="2" s="1"/>
  <c r="O20" i="2" a="1"/>
  <c r="O20" i="2" s="1"/>
  <c r="N20" i="2" a="1"/>
  <c r="N20" i="2" s="1"/>
  <c r="L20" i="2" a="1"/>
  <c r="L20" i="2" s="1"/>
  <c r="K20" i="2" a="1"/>
  <c r="K20" i="2" s="1"/>
  <c r="O19" i="2" a="1"/>
  <c r="O19" i="2" s="1"/>
  <c r="N19" i="2" a="1"/>
  <c r="N19" i="2" s="1"/>
  <c r="L19" i="2" a="1"/>
  <c r="L19" i="2" s="1"/>
  <c r="K19" i="2" a="1"/>
  <c r="K19" i="2" s="1"/>
  <c r="O18" i="2" a="1"/>
  <c r="O18" i="2" s="1"/>
  <c r="N18" i="2" a="1"/>
  <c r="N18" i="2" s="1"/>
  <c r="L18" i="2" a="1"/>
  <c r="L18" i="2" s="1"/>
  <c r="K18" i="2" a="1"/>
  <c r="K18" i="2" s="1"/>
  <c r="O17" i="2" a="1"/>
  <c r="O17" i="2" s="1"/>
  <c r="N17" i="2" a="1"/>
  <c r="N17" i="2" s="1"/>
  <c r="L17" i="2" a="1"/>
  <c r="L17" i="2" s="1"/>
  <c r="K17" i="2" a="1"/>
  <c r="K17" i="2" s="1"/>
  <c r="O16" i="2" a="1"/>
  <c r="O16" i="2" s="1"/>
  <c r="N16" i="2" a="1"/>
  <c r="N16" i="2" s="1"/>
  <c r="L16" i="2" a="1"/>
  <c r="L16" i="2" s="1"/>
  <c r="K16" i="2" a="1"/>
  <c r="K16" i="2" s="1"/>
  <c r="O15" i="2" a="1"/>
  <c r="O15" i="2" s="1"/>
  <c r="N15" i="2" a="1"/>
  <c r="N15" i="2" s="1"/>
  <c r="L15" i="2" a="1"/>
  <c r="L15" i="2" s="1"/>
  <c r="K15" i="2" a="1"/>
  <c r="K15" i="2" s="1"/>
  <c r="O14" i="2" a="1"/>
  <c r="O14" i="2" s="1"/>
  <c r="N14" i="2" a="1"/>
  <c r="N14" i="2" s="1"/>
  <c r="L14" i="2" a="1"/>
  <c r="L14" i="2" s="1"/>
  <c r="K14" i="2" a="1"/>
  <c r="K14" i="2" s="1"/>
  <c r="O13" i="2" a="1"/>
  <c r="O13" i="2" s="1"/>
  <c r="N13" i="2" a="1"/>
  <c r="N13" i="2" s="1"/>
  <c r="L13" i="2" a="1"/>
  <c r="L13" i="2" s="1"/>
  <c r="K13" i="2" a="1"/>
  <c r="K13" i="2" s="1"/>
  <c r="J12" i="2" a="1"/>
  <c r="J12" i="2" s="1"/>
  <c r="Q12" i="2" s="1"/>
  <c r="J11" i="2" a="1"/>
  <c r="J11" i="2" s="1"/>
  <c r="Q11" i="2" s="1"/>
  <c r="J10" i="2" a="1"/>
  <c r="J10" i="2" s="1"/>
  <c r="Q10" i="2" s="1"/>
  <c r="J9" i="2" a="1"/>
  <c r="J9" i="2" s="1"/>
  <c r="Q9" i="2" s="1"/>
  <c r="J8" i="2" a="1"/>
  <c r="J8" i="2" s="1"/>
  <c r="Q8" i="2" s="1"/>
  <c r="J7" i="2" a="1"/>
  <c r="J7" i="2" s="1"/>
  <c r="Q7" i="2" s="1"/>
  <c r="J6" i="2" a="1"/>
  <c r="J6" i="2" s="1"/>
  <c r="Q6" i="2" s="1"/>
  <c r="J5" i="2" a="1"/>
  <c r="J5" i="2" s="1"/>
  <c r="Q5" i="2" s="1"/>
  <c r="Q17" i="2" l="1"/>
  <c r="Q16" i="2"/>
  <c r="Q15" i="2"/>
  <c r="Q22" i="2"/>
  <c r="Q21" i="2"/>
  <c r="Q23" i="2"/>
  <c r="Q14" i="2"/>
  <c r="Q18" i="2"/>
  <c r="Q19" i="2"/>
  <c r="Q20" i="2"/>
  <c r="Q13" i="2"/>
  <c r="D170" i="1" l="1"/>
  <c r="D174" i="1" s="1" a="1"/>
  <c r="D174" i="1" s="1"/>
  <c r="C170" i="1"/>
  <c r="C174" i="1" s="1" a="1"/>
  <c r="C174" i="1" s="1"/>
  <c r="H135" i="1"/>
  <c r="H139" i="1" s="1" a="1"/>
  <c r="H139" i="1" s="1"/>
  <c r="G135" i="1"/>
  <c r="G139" i="1" s="1" a="1"/>
  <c r="G139" i="1" s="1"/>
  <c r="F135" i="1"/>
  <c r="F139" i="1" s="1" a="1"/>
  <c r="F139" i="1" s="1"/>
  <c r="E135" i="1"/>
  <c r="E139" i="1" s="1" a="1"/>
  <c r="E139" i="1" s="1"/>
  <c r="D135" i="1"/>
  <c r="D139" i="1" s="1" a="1"/>
  <c r="D139" i="1" s="1"/>
  <c r="C135" i="1"/>
  <c r="C139" i="1" s="1" a="1"/>
  <c r="C139" i="1" s="1"/>
  <c r="B135" i="1"/>
  <c r="B139" i="1" s="1" a="1"/>
  <c r="B139" i="1" s="1"/>
  <c r="H100" i="1"/>
  <c r="H104" i="1" s="1" a="1"/>
  <c r="H104" i="1" s="1"/>
  <c r="G100" i="1"/>
  <c r="G104" i="1" s="1" a="1"/>
  <c r="G104" i="1" s="1"/>
  <c r="F100" i="1"/>
  <c r="F104" i="1" s="1" a="1"/>
  <c r="F104" i="1" s="1"/>
  <c r="E100" i="1"/>
  <c r="E104" i="1" s="1" a="1"/>
  <c r="E104" i="1" s="1"/>
  <c r="D100" i="1"/>
  <c r="D104" i="1" s="1" a="1"/>
  <c r="D104" i="1" s="1"/>
  <c r="C100" i="1"/>
  <c r="C104" i="1" s="1" a="1"/>
  <c r="C104" i="1" s="1"/>
  <c r="B100" i="1"/>
  <c r="B104" i="1" s="1" a="1"/>
  <c r="B104" i="1" s="1"/>
  <c r="H65" i="1"/>
  <c r="H69" i="1" s="1" a="1"/>
  <c r="H69" i="1" s="1"/>
  <c r="G65" i="1"/>
  <c r="G69" i="1" s="1" a="1"/>
  <c r="G69" i="1" s="1"/>
  <c r="F65" i="1"/>
  <c r="F69" i="1" s="1" a="1"/>
  <c r="F69" i="1" s="1"/>
  <c r="E65" i="1"/>
  <c r="E69" i="1" s="1" a="1"/>
  <c r="E69" i="1" s="1"/>
  <c r="D65" i="1"/>
  <c r="D69" i="1" s="1" a="1"/>
  <c r="D69" i="1" s="1"/>
  <c r="C65" i="1"/>
  <c r="C69" i="1" s="1" a="1"/>
  <c r="C69" i="1" s="1"/>
  <c r="B65" i="1"/>
  <c r="B69" i="1" s="1" a="1"/>
  <c r="B69" i="1" s="1"/>
  <c r="H30" i="1"/>
  <c r="H34" i="1" s="1" a="1"/>
  <c r="H34" i="1" s="1"/>
  <c r="G30" i="1"/>
  <c r="G34" i="1" s="1" a="1"/>
  <c r="G34" i="1" s="1"/>
  <c r="F30" i="1"/>
  <c r="F34" i="1" s="1" a="1"/>
  <c r="F34" i="1" s="1"/>
  <c r="E30" i="1"/>
  <c r="E34" i="1" s="1" a="1"/>
  <c r="E34" i="1" s="1"/>
  <c r="D30" i="1"/>
  <c r="D34" i="1" s="1" a="1"/>
  <c r="D34" i="1" s="1"/>
  <c r="C30" i="1"/>
  <c r="C34" i="1" s="1" a="1"/>
  <c r="C34" i="1" s="1"/>
  <c r="S16" i="1" l="1" a="1"/>
  <c r="S16" i="1" s="1"/>
  <c r="S20" i="1" a="1"/>
  <c r="S20" i="1" s="1"/>
  <c r="S15" i="1" a="1"/>
  <c r="S15" i="1" s="1"/>
  <c r="S9" i="1" a="1"/>
  <c r="S9" i="1" s="1"/>
  <c r="S19" i="1" a="1"/>
  <c r="S19" i="1" s="1"/>
  <c r="S18" i="1" a="1"/>
  <c r="S18" i="1" s="1"/>
  <c r="S11" i="1" a="1"/>
  <c r="S11" i="1" s="1"/>
  <c r="S14" i="1" a="1"/>
  <c r="S14" i="1" s="1"/>
  <c r="S12" i="1" a="1"/>
  <c r="S12" i="1" s="1"/>
  <c r="S21" i="1" a="1"/>
  <c r="S21" i="1" s="1"/>
  <c r="S13" i="1" a="1"/>
  <c r="S13" i="1" s="1"/>
  <c r="S8" i="1" a="1"/>
  <c r="S8" i="1" s="1"/>
  <c r="S7" i="1" a="1"/>
  <c r="S7" i="1" s="1"/>
  <c r="S22" i="1" a="1"/>
  <c r="S22" i="1" s="1"/>
  <c r="S4" i="1" a="1"/>
  <c r="S4" i="1" s="1"/>
  <c r="S17" i="1" a="1"/>
  <c r="S17" i="1" s="1"/>
  <c r="S6" i="1" a="1"/>
  <c r="S6" i="1" s="1"/>
  <c r="S10" i="1" a="1"/>
  <c r="S10" i="1" s="1"/>
  <c r="S5" i="1" a="1"/>
  <c r="S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<sst xmlns="http://schemas.openxmlformats.org/spreadsheetml/2006/main" count="267" uniqueCount="81">
  <si>
    <t>תפקיד</t>
  </si>
  <si>
    <t>אטנדינג</t>
  </si>
  <si>
    <t>גנדלמן</t>
  </si>
  <si>
    <t>הרש</t>
  </si>
  <si>
    <t>כהן</t>
  </si>
  <si>
    <t>פרץ</t>
  </si>
  <si>
    <t>קימיאגר</t>
  </si>
  <si>
    <t>מחלקה</t>
  </si>
  <si>
    <t>מיון</t>
  </si>
  <si>
    <t>שמואל</t>
  </si>
  <si>
    <t>ארדשירוב</t>
  </si>
  <si>
    <t>גלינסקיה</t>
  </si>
  <si>
    <t>תורן מיון</t>
  </si>
  <si>
    <t>עסלי</t>
  </si>
  <si>
    <t>דקל</t>
  </si>
  <si>
    <t>חדיג'ה</t>
  </si>
  <si>
    <t>סעוב</t>
  </si>
  <si>
    <t>הסר</t>
  </si>
  <si>
    <t>תורן מחלקה</t>
  </si>
  <si>
    <t>לקן</t>
  </si>
  <si>
    <t>כונן מיון</t>
  </si>
  <si>
    <t>ברטל</t>
  </si>
  <si>
    <t>ייעוצים מובילים</t>
  </si>
  <si>
    <t>ברג</t>
  </si>
  <si>
    <t>מחקר</t>
  </si>
  <si>
    <t>מרפאת תנועה</t>
  </si>
  <si>
    <t>מרפאת אפילפסיה הרש</t>
  </si>
  <si>
    <t>מרפאת CVA</t>
  </si>
  <si>
    <t>מרפאת קרוטיס</t>
  </si>
  <si>
    <t>מרפאת זיכרון</t>
  </si>
  <si>
    <t>מרפאת בוטוקס</t>
  </si>
  <si>
    <t>מרפאת נוירואימונולוגיה</t>
  </si>
  <si>
    <t>שמעון</t>
  </si>
  <si>
    <t>מרפאת עצב שריר</t>
  </si>
  <si>
    <t>קינן</t>
  </si>
  <si>
    <t>מרפאת כאבי ראש</t>
  </si>
  <si>
    <t>אגאג'ני</t>
  </si>
  <si>
    <t>מרפאת פוסט אשפוז</t>
  </si>
  <si>
    <t>מרפאת שבץ מוחי</t>
  </si>
  <si>
    <t>מרפאת נוירואונקולוגיה</t>
  </si>
  <si>
    <t>נוירולוגיה כללית</t>
  </si>
  <si>
    <t>EMG</t>
  </si>
  <si>
    <t>טולצ'ינסקי</t>
  </si>
  <si>
    <t>EEG</t>
  </si>
  <si>
    <t>EEG ילדים</t>
  </si>
  <si>
    <t>אחרי תורנות</t>
  </si>
  <si>
    <t>חלופי</t>
  </si>
  <si>
    <t>חופש</t>
  </si>
  <si>
    <t>רוטציה</t>
  </si>
  <si>
    <t>⚠️ לא שובצו</t>
  </si>
  <si>
    <t>פריאנטה</t>
  </si>
  <si>
    <t>תורנויות כוננויות מרץ 26</t>
  </si>
  <si>
    <t>תאריך</t>
  </si>
  <si>
    <t>יום</t>
  </si>
  <si>
    <t>ת.מיון</t>
  </si>
  <si>
    <t>כ.מיון</t>
  </si>
  <si>
    <t>לא נכללים בבדיקה</t>
  </si>
  <si>
    <t>ערמון</t>
  </si>
  <si>
    <t>מיניוביץ'</t>
  </si>
  <si>
    <t>ימי שישי מרץ 26</t>
  </si>
  <si>
    <t>ייעוצים מרץ 26</t>
  </si>
  <si>
    <t>יועץ</t>
  </si>
  <si>
    <t>ת.מיון 2</t>
  </si>
  <si>
    <t>שישי/שבת</t>
  </si>
  <si>
    <t>ימי רביעי</t>
  </si>
  <si>
    <t>ימי חמישי</t>
  </si>
  <si>
    <t>סה"כ</t>
  </si>
  <si>
    <t>שם</t>
  </si>
  <si>
    <t>ייעוצים</t>
  </si>
  <si>
    <t>ימי שישי</t>
  </si>
  <si>
    <t>חופש (א-ה)</t>
  </si>
  <si>
    <t>תורנויות</t>
  </si>
  <si>
    <t>כוננויות</t>
  </si>
  <si>
    <t>מרפאת אפילפסיה גנדלמן</t>
  </si>
  <si>
    <t>לא שובצו</t>
  </si>
  <si>
    <t>סנדוויץ'</t>
  </si>
  <si>
    <t>חלופי (ו', ה+ש, ו+ש)</t>
  </si>
  <si>
    <t>אינטובציה</t>
  </si>
  <si>
    <t>אשפוז יום</t>
  </si>
  <si>
    <t>לא זמינים ללילה</t>
  </si>
  <si>
    <t>פנויים לשיבוץ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</si>
</sst>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0.5"/>
      <name val="Calibri"/>
      <family val="2"/>
      <scheme val="minor"/>
    </font>
    <font>
      <b/>
      <sz val="11"/>
      <color theme="1"/>
      <name val="Calibri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D99B"/>
      </patternFill>
    </fill>
    <fill>
      <patternFill patternType="solid">
        <fgColor rgb="FFE6E6E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9B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6">
    <xf numFmtId="0" fontId="0" fillId="0" borderId="0" xfId="0"/>
    <xf numFmtId="0" fontId="0" fillId="0" borderId="1" xfId="0" applyBorder="1" applyAlignment="1">
      <alignment horizontal="center" vertical="center" wrapText="1" readingOrder="2"/>
    </xf>
    <xf numFmtId="0" fontId="0" fillId="2" borderId="1" xfId="0" applyFill="1" applyBorder="1" applyAlignment="1">
      <alignment horizontal="right" vertical="top" wrapText="1" readingOrder="2"/>
    </xf>
    <xf numFmtId="0" fontId="0" fillId="0" borderId="1" xfId="0" applyBorder="1" applyAlignment="1">
      <alignment horizontal="right" vertical="center" readingOrder="2"/>
    </xf>
    <xf numFmtId="0" fontId="2" fillId="0" borderId="1" xfId="0" applyFont="1" applyBorder="1" applyAlignment="1">
      <alignment horizontal="center" vertical="center" readingOrder="2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readingOrder="2"/>
    </xf>
    <xf numFmtId="0" fontId="0" fillId="0" borderId="1" xfId="0" applyBorder="1" applyAlignment="1">
      <alignment horizontal="right" vertical="center" wrapText="1" readingOrder="2"/>
    </xf>
    <xf numFmtId="0" fontId="0" fillId="0" borderId="2" xfId="0" applyBorder="1" applyAlignment="1">
      <alignment horizontal="right" vertical="top" wrapText="1" readingOrder="2"/>
    </xf>
    <xf numFmtId="0" fontId="2" fillId="0" borderId="3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 wrapText="1" readingOrder="2"/>
    </xf>
    <xf numFmtId="0" fontId="2" fillId="0" borderId="5" xfId="0" applyFont="1" applyBorder="1" applyAlignment="1">
      <alignment horizontal="center" vertical="center" wrapText="1" readingOrder="2"/>
    </xf>
    <xf numFmtId="0" fontId="0" fillId="0" borderId="6" xfId="0" applyBorder="1" applyAlignment="1">
      <alignment horizontal="right" vertical="top" wrapText="1" readingOrder="2"/>
    </xf>
    <xf numFmtId="0" fontId="0" fillId="0" borderId="7" xfId="0" applyBorder="1" applyAlignment="1">
      <alignment horizontal="right" vertical="top" wrapText="1" readingOrder="2"/>
    </xf>
    <xf numFmtId="0" fontId="0" fillId="0" borderId="8" xfId="0" applyBorder="1" applyAlignment="1">
      <alignment horizontal="right" vertical="top" wrapText="1" readingOrder="2"/>
    </xf>
    <xf numFmtId="0" fontId="0" fillId="0" borderId="9" xfId="0" applyBorder="1" applyAlignment="1">
      <alignment horizontal="right" vertical="top" wrapText="1" readingOrder="2"/>
    </xf>
    <xf numFmtId="0" fontId="0" fillId="0" borderId="10" xfId="0" applyBorder="1" applyAlignment="1">
      <alignment horizontal="right" vertical="top" wrapText="1" readingOrder="2"/>
    </xf>
    <xf numFmtId="0" fontId="0" fillId="0" borderId="2" xfId="0" applyBorder="1" applyAlignment="1">
      <alignment horizontal="center"/>
    </xf>
    <xf numFmtId="0" fontId="0" fillId="0" borderId="2" xfId="0" applyBorder="1"/>
    <xf numFmtId="0" fontId="4" fillId="0" borderId="2" xfId="0" applyFont="1" applyBorder="1" applyAlignment="1">
      <alignment horizontal="center" vertical="center" readingOrder="2"/>
    </xf>
    <xf numFmtId="0" fontId="5" fillId="5" borderId="2" xfId="2" applyFont="1" applyBorder="1" applyAlignment="1">
      <alignment horizontal="center" readingOrder="2"/>
    </xf>
    <xf numFmtId="0" fontId="5" fillId="4" borderId="2" xfId="1" applyFont="1" applyBorder="1" applyAlignment="1">
      <alignment horizontal="center" readingOrder="2"/>
    </xf>
    <xf numFmtId="0" fontId="0" fillId="7" borderId="6" xfId="0" applyFill="1" applyBorder="1" applyAlignment="1">
      <alignment horizontal="right" vertical="top" wrapText="1" readingOrder="2"/>
    </xf>
    <xf numFmtId="0" fontId="0" fillId="7" borderId="2" xfId="0" applyFill="1" applyBorder="1" applyAlignment="1">
      <alignment horizontal="right" vertical="top" wrapText="1" readingOrder="2"/>
    </xf>
    <xf numFmtId="0" fontId="0" fillId="7" borderId="7" xfId="0" applyFill="1" applyBorder="1" applyAlignment="1">
      <alignment horizontal="right" vertical="top" wrapText="1" readingOrder="2"/>
    </xf>
    <xf numFmtId="0" fontId="0" fillId="7" borderId="1" xfId="0" applyFill="1" applyBorder="1" applyAlignment="1">
      <alignment horizontal="center" vertical="center" wrapText="1" readingOrder="2"/>
    </xf>
    <xf numFmtId="0" fontId="0" fillId="7" borderId="1" xfId="0" applyFill="1" applyBorder="1" applyAlignment="1">
      <alignment horizontal="right" vertical="center" wrapText="1" readingOrder="2"/>
    </xf>
    <xf numFmtId="0" fontId="6" fillId="0" borderId="1" xfId="0" applyFont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0" fontId="0" fillId="0" borderId="1" xfId="0" applyBorder="1" applyAlignment="1">
      <alignment horizontal="right" vertical="top" wrapText="1" readingOrder="2"/>
    </xf>
    <xf numFmtId="0" fontId="0" fillId="0" borderId="2" xfId="0" applyBorder="1" applyAlignment="1">
      <alignment horizontal="center" vertical="center" wrapText="1" readingOrder="2"/>
    </xf>
    <xf numFmtId="0" fontId="7" fillId="5" borderId="2" xfId="2" applyFont="1" applyBorder="1" applyAlignment="1">
      <alignment horizontal="center" wrapText="1" readingOrder="2"/>
    </xf>
    <xf numFmtId="0" fontId="7" fillId="6" borderId="2" xfId="1" applyFont="1" applyFill="1" applyBorder="1" applyAlignment="1">
      <alignment horizontal="center" wrapText="1" readingOrder="2"/>
    </xf>
    <xf numFmtId="0" fontId="7" fillId="4" borderId="2" xfId="1" applyFont="1" applyBorder="1" applyAlignment="1">
      <alignment horizontal="center" wrapText="1" readingOrder="2"/>
    </xf>
    <xf numFmtId="0" fontId="2" fillId="0" borderId="0" xfId="0" applyFont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0" fontId="9" fillId="0" borderId="1" xfId="0" applyFont="1" applyBorder="1" applyAlignment="1">
      <alignment horizontal="right" vertical="top" wrapText="1" readingOrder="2"/>
    </xf>
    <xf numFmtId="0" fontId="8" fillId="7" borderId="1" xfId="0" applyFont="1" applyFill="1" applyBorder="1" applyAlignment="1">
      <alignment horizontal="right" vertical="top" wrapText="1" readingOrder="2"/>
    </xf>
    <xf numFmtId="0" fontId="8" fillId="3" borderId="1" xfId="0" applyFont="1" applyFill="1" applyBorder="1" applyAlignment="1">
      <alignment horizontal="right" vertical="top" wrapText="1" readingOrder="2"/>
    </xf>
    <xf numFmtId="0" fontId="8" fillId="2" borderId="1" xfId="0" applyFont="1" applyFill="1" applyBorder="1" applyAlignment="1">
      <alignment horizontal="right" vertical="top" wrapText="1" readingOrder="2"/>
    </xf>
    <xf numFmtId="0" fontId="8" fillId="8" borderId="1" xfId="0" applyFont="1" applyFill="1" applyBorder="1" applyAlignment="1">
      <alignment horizontal="right" vertical="top" wrapText="1" readingOrder="2"/>
    </xf>
    <xf numFmtId="0" fontId="10" fillId="0" borderId="1" xfId="0" applyFont="1" applyBorder="1" applyAlignment="1">
      <alignment horizontal="right" vertical="top" wrapText="1" readingOrder="2"/>
    </xf>
    <xf numFmtId="0" fontId="10" fillId="2" borderId="1" xfId="0" applyFont="1" applyFill="1" applyBorder="1" applyAlignment="1">
      <alignment horizontal="right" vertical="top" wrapText="1" readingOrder="2"/>
    </xf>
    <xf numFmtId="0" fontId="11" fillId="0" borderId="0" xfId="0" applyFont="1"/>
    <xf numFmtId="0" fontId="8" fillId="0" borderId="2" xfId="0" applyFont="1" applyBorder="1" applyAlignment="1">
      <alignment horizontal="right" vertical="top" wrapText="1" readingOrder="2"/>
    </xf>
    <xf numFmtId="0" fontId="12" fillId="0" borderId="1" xfId="0" applyFont="1" applyBorder="1" applyAlignment="1">
      <alignment horizontal="center" vertical="center" wrapText="1" readingOrder="2"/>
    </xf>
    <xf numFmtId="0" fontId="12" fillId="2" borderId="1" xfId="0" applyFont="1" applyFill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 readingOrder="2"/>
    </xf>
    <xf numFmtId="0" fontId="8" fillId="2" borderId="1" xfId="0" applyFont="1" applyFill="1" applyBorder="1" applyAlignment="1">
      <alignment horizontal="center" vertical="center" wrapText="1" readingOrder="2"/>
    </xf>
    <xf numFmtId="0" fontId="8" fillId="0" borderId="0" xfId="0" applyFont="1"/>
    <xf numFmtId="0" fontId="12" fillId="3" borderId="1" xfId="0" applyFont="1" applyFill="1" applyBorder="1" applyAlignment="1">
      <alignment horizontal="center" vertical="center" wrapText="1" readingOrder="2"/>
    </xf>
    <xf numFmtId="0" fontId="8" fillId="3" borderId="1" xfId="0" applyFont="1" applyFill="1" applyBorder="1" applyAlignment="1">
      <alignment horizontal="center" vertical="center" wrapText="1" readingOrder="2"/>
    </xf>
    <xf numFmtId="0" fontId="3" fillId="0" borderId="0" xfId="0" applyFont="1" applyAlignment="1">
      <alignment horizontal="center" vertical="center" readingOrder="2"/>
    </xf>
    <xf numFmtId="0" fontId="0" fillId="0" borderId="0" xfId="0"/>
    <xf numFmtId="0" fontId="12" fillId="7" borderId="1" xfId="0" applyFont="1" applyFill="1" applyBorder="1" applyAlignment="1">
      <alignment horizontal="center" vertical="center" wrapText="1" readingOrder="2"/>
    </xf>
    <xf numFmtId="0" fontId="8" fillId="7" borderId="1" xfId="0" applyFont="1" applyFill="1" applyBorder="1" applyAlignment="1">
      <alignment horizontal="center" vertical="center" wrapText="1" readingOrder="2"/>
    </xf>
  </cellXfs>
  <cellStyles count="3">
    <cellStyle name="60% - Accent3" xfId="1" builtinId="40"/>
    <cellStyle name="60% - Accent5" xfId="2" builtinId="48"/>
    <cellStyle name="Normal" xfId="0" builtinId="0"/>
  </cellStyles>
  <dxfs count="12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D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4"/>
  <sheetViews>
    <sheetView rightToLeft="1" tabSelected="1" zoomScale="85" zoomScaleNormal="85" workbookViewId="0">
      <pane ySplit="1" topLeftCell="A2" activePane="bottomLeft" state="frozen"/>
      <selection pane="bottomLeft" activeCell="M10" sqref="M10"/>
    </sheetView>
  </sheetViews>
  <sheetFormatPr defaultRowHeight="14.4" x14ac:dyDescent="0.3"/>
  <cols>
    <col min="1" max="1" width="20.109375" customWidth="1"/>
    <col min="2" max="4" width="14" customWidth="1"/>
    <col min="5" max="5" width="15.5546875" customWidth="1"/>
    <col min="6" max="6" width="14" customWidth="1"/>
    <col min="7" max="7" width="15.44140625" customWidth="1"/>
    <col min="8" max="8" width="14" customWidth="1"/>
    <col min="9" max="9" width="16.21875" bestFit="1" customWidth="1"/>
    <col min="10" max="10" width="18.77734375" customWidth="1"/>
    <col min="15" max="15" width="10.109375" customWidth="1"/>
  </cols>
  <sheetData>
    <row r="1" spans="1:19" x14ac:dyDescent="0.3">
      <c r="A1" s="27"/>
      <c r="B1" s="45"/>
      <c r="C1" s="45"/>
      <c r="D1" s="45"/>
      <c r="E1" s="45"/>
      <c r="F1" s="45"/>
      <c r="G1" s="46"/>
      <c r="H1" s="46"/>
    </row>
    <row r="2" spans="1:19" x14ac:dyDescent="0.3">
      <c r="A2" s="1" t="s">
        <v>0</v>
      </c>
      <c r="B2" s="47"/>
      <c r="C2" s="47"/>
      <c r="D2" s="47"/>
      <c r="E2" s="47"/>
      <c r="F2" s="47"/>
      <c r="G2" s="48"/>
      <c r="H2" s="4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3" spans="1:19" x14ac:dyDescent="0.3">
      <c r="A3" s="29" t="s">
        <v>1</v>
      </c>
      <c r="B3" s="35"/>
      <c r="C3" s="35"/>
      <c r="D3" s="35"/>
      <c r="E3" s="35"/>
      <c r="F3" s="35"/>
      <c r="G3" s="39"/>
      <c r="H3" s="39"/>
      <c r="I3" s="28" t="s">
        <v>1</v>
      </c>
      <c r="J3" s="30" t="s">
        <v>67</v>
      </c>
      <c r="K3" s="30" t="s">
        <v>68</v>
      </c>
      <c r="L3" s="30" t="s">
        <v>69</v>
      </c>
      <c r="M3" s="30" t="s">
        <v>24</v>
      </c>
      <c r="N3" s="30" t="s">
        <v>43</v>
      </c>
      <c r="O3" s="30" t="s">
        <v>70</v>
      </c>
      <c r="P3" s="30" t="s">
        <v>48</v>
      </c>
      <c r="Q3" s="30" t="s">
        <v>71</v>
      </c>
      <c r="R3" s="30" t="s">
        <v>72</v>
      </c>
      <c r="S3" s="30" t="s">
        <v>74</v>
      </c>
    </row>
    <row r="4" spans="1:19" x14ac:dyDescent="0.3">
      <c r="A4" s="29" t="s">
        <v>7</v>
      </c>
      <c r="B4" s="35"/>
      <c r="C4" s="35"/>
      <c r="D4" s="35"/>
      <c r="E4" s="35"/>
      <c r="F4" s="35"/>
      <c r="G4" s="39"/>
      <c r="H4" s="39"/>
      <c r="I4" s="28" t="s">
        <v>7</v>
      </c>
      <c r="J4" s="31" t="s">
        <v>21</v>
      </c>
      <c r="K4" s="31" cm="1">
        <f t="array" ref="K4">_xlfn.LET(
  _xlpm.raw, _xlfn.TEXTSPLIT(_xlfn.TEXTJOIN(",",TRUE, B$11:F$11, B$46:F$46, B$81:F$81, B$116:F$116, B$151:F$151), ","),
  _xlpm.tokens, _xlfn._xlws.FILTER(TRIM(_xlpm.raw), TRIM(_xlpm.raw)&lt;&gt;""),
  IFERROR(SUMPRODUCT(--(_xlpm.tokens=$J4)), 0)
)</f>
        <v>0</v>
      </c>
      <c r="L4" s="31" cm="1">
        <f t="array" ref="L4">_xlfn.LET(
  _xlpm.name, $J4,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4" s="31" cm="1">
        <f t="array" ref="M4">_xlfn.LET(
  _xlpm.raw, _xlfn.TEXTSPLIT(_xlfn.TEXTJOIN(",",TRUE, B$12:F$12, B$47:F$47, B$82:F$82, B$117:F$117, B$152:F$152), ","),
  _xlpm.tokens, _xlfn._xlws.FILTER(TRIM(_xlpm.raw), TRIM(_xlpm.raw)&lt;&gt;""),
  IFERROR(SUMPRODUCT(--(_xlpm.tokens=$J4)), 0)
)</f>
        <v>0</v>
      </c>
      <c r="N4" s="31" cm="1">
        <f t="array" ref="N4">_xlfn.LET(
  _xlpm.raw, _xlfn.TEXTSPLIT(_xlfn.TEXTJOIN(",",TRUE, B$28:F$28, B$63:F$63, B$98:F$98, B$133:F$133, B$168:F$168), ","),
  _xlpm.tokens, _xlfn._xlws.FILTER(TRIM(_xlpm.raw), TRIM(_xlpm.raw)&lt;&gt;""),
  IFERROR(SUMPRODUCT(--(_xlpm.tokens=$J4)), 0)
)</f>
        <v>0</v>
      </c>
      <c r="O4" s="31" cm="1">
        <f t="array" ref="O4">_xlfn.LET(
  _xlpm.raw, _xlfn.TEXTSPLIT(_xlfn.TEXTJOIN(",",TRUE, B$32:F$32, B$67:F$67, B$102:F$102, B$137:F$137, B$172:F$172), ","),
  _xlpm.tokens, _xlfn._xlws.FILTER(TRIM(_xlpm.raw), TRIM(_xlpm.raw)&lt;&gt;""),
  IFERROR(SUMPRODUCT(--(_xlpm.tokens=$J4)), 0)
)</f>
        <v>0</v>
      </c>
      <c r="P4" s="31" cm="1">
        <f t="array" ref="P4">_xlfn.LET(
  _xlpm.raw, _xlfn.TEXTSPLIT(_xlfn.TEXTJOIN(",",TRUE, B$33:F$33, B$68:F$68, B$103:F$103, B$138:F$138, B$173:F$173,), ","),
  _xlpm.tokens, _xlfn._xlws.FILTER(TRIM(_xlpm.raw), TRIM(_xlpm.raw)&lt;&gt;""),
  IFERROR(SUMPRODUCT(--(_xlpm.tokens=$J4)), 0)
)</f>
        <v>0</v>
      </c>
      <c r="Q4" s="31"/>
      <c r="R4" s="32" cm="1">
        <f t="array" ref="R4">_xlfn.LET(
  _xlpm.raw, _xlfn.TEXTSPLIT(_xlfn.TEXTJOIN(",",TRUE, B$9:H$9, B$44:H$44, B$79:H$79, B$114:H$114, B$149:H$149), ","),
  _xlpm.tokens, _xlfn._xlws.FILTER(TRIM(_xlpm.raw), TRIM(_xlpm.raw)&lt;&gt;""),
  IFERROR(SUMPRODUCT(--(_xlpm.tokens=$J4)), 0)
)</f>
        <v>0</v>
      </c>
      <c r="S4" s="32" cm="1">
        <f t="array" ref="S4">_xlfn.LET(
  _xlpm.raw, _xlfn.TEXTSPLIT(_xlfn.TEXTJOIN(",",TRUE, B$34:F$34, B$69:F$69, B$104:F$104, B$139:F$139, B$174:F$174,), ","),
  _xlpm.tokens, _xlfn._xlws.FILTER(TRIM(_xlpm.raw), TRIM(_xlpm.raw)&lt;&gt;""),
  IFERROR(SUMPRODUCT(--(_xlpm.tokens=$J4)), 0)
)</f>
        <v>23</v>
      </c>
    </row>
    <row r="5" spans="1:19" x14ac:dyDescent="0.3">
      <c r="A5" s="29" t="s">
        <v>8</v>
      </c>
      <c r="B5" s="35"/>
      <c r="C5" s="35"/>
      <c r="D5" s="35"/>
      <c r="E5" s="35"/>
      <c r="F5" s="35"/>
      <c r="G5" s="39"/>
      <c r="H5" s="39"/>
      <c r="I5" s="28" t="s">
        <v>8</v>
      </c>
      <c r="J5" s="31" t="s">
        <v>2</v>
      </c>
      <c r="K5" s="31" cm="1">
        <f t="array" ref="K5">_xlfn.LET(
  _xlpm.raw, _xlfn.TEXTSPLIT(_xlfn.TEXTJOIN(",",TRUE, B$11:F$11, B$46:F$46, B$81:F$81, B$116:F$116, B$151:F$151), ","),
  _xlpm.tokens, _xlfn._xlws.FILTER(TRIM(_xlpm.raw), TRIM(_xlpm.raw)&lt;&gt;""),
  IFERROR(SUMPRODUCT(--(_xlpm.tokens=$J5)), 0)
)</f>
        <v>0</v>
      </c>
      <c r="L5" s="31" cm="1">
        <f t="array" ref="L5">_xlfn.LET(
  _xlpm.name, $J5,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5" s="31" cm="1">
        <f t="array" ref="M5">_xlfn.LET(
  _xlpm.raw, _xlfn.TEXTSPLIT(_xlfn.TEXTJOIN(",",TRUE, B$12:F$12, B$47:F$47, B$82:F$82, B$117:F$117, B$152:F$152), ","),
  _xlpm.tokens, _xlfn._xlws.FILTER(TRIM(_xlpm.raw), TRIM(_xlpm.raw)&lt;&gt;""),
  IFERROR(SUMPRODUCT(--(_xlpm.tokens=$J5)), 0)
)</f>
        <v>0</v>
      </c>
      <c r="N5" s="31" cm="1">
        <f t="array" ref="N5">_xlfn.LET(
  _xlpm.raw, _xlfn.TEXTSPLIT(_xlfn.TEXTJOIN(",",TRUE, B$28:F$28, B$63:F$63, B$98:F$98, B$133:F$133, B$168:F$168), ","),
  _xlpm.tokens, _xlfn._xlws.FILTER(TRIM(_xlpm.raw), TRIM(_xlpm.raw)&lt;&gt;""),
  IFERROR(SUMPRODUCT(--(_xlpm.tokens=$J5)), 0)
)</f>
        <v>0</v>
      </c>
      <c r="O5" s="31" cm="1">
        <f t="array" ref="O5">_xlfn.LET(
  _xlpm.raw, _xlfn.TEXTSPLIT(_xlfn.TEXTJOIN(",",TRUE, B$32:F$32, B$67:F$67, B$102:F$102, B$137:F$137, B$172:F$172), ","),
  _xlpm.tokens, _xlfn._xlws.FILTER(TRIM(_xlpm.raw), TRIM(_xlpm.raw)&lt;&gt;""),
  IFERROR(SUMPRODUCT(--(_xlpm.tokens=$J5)), 0)
)</f>
        <v>0</v>
      </c>
      <c r="P5" s="31" cm="1">
        <f t="array" ref="P5">_xlfn.LET(
  _xlpm.raw, _xlfn.TEXTSPLIT(_xlfn.TEXTJOIN(",",TRUE, B$33:F$33, B$68:F$68, B$103:F$103, B$138:F$138, B$173:F$173,), ","),
  _xlpm.tokens, _xlfn._xlws.FILTER(TRIM(_xlpm.raw), TRIM(_xlpm.raw)&lt;&gt;""),
  IFERROR(SUMPRODUCT(--(_xlpm.tokens=$J5)), 0)
)</f>
        <v>0</v>
      </c>
      <c r="Q5" s="31"/>
      <c r="R5" s="32" cm="1">
        <f t="array" ref="R5">_xlfn.LET(
  _xlpm.raw, _xlfn.TEXTSPLIT(_xlfn.TEXTJOIN(",",TRUE, B$9:H$9, B$44:H$44, B$79:H$79, B$114:H$114, B$149:H$149), ","),
  _xlpm.tokens, _xlfn._xlws.FILTER(TRIM(_xlpm.raw), TRIM(_xlpm.raw)&lt;&gt;""),
  IFERROR(SUMPRODUCT(--(_xlpm.tokens=$J5)), 0)
)</f>
        <v>0</v>
      </c>
      <c r="S5" s="32" cm="1">
        <f t="array" ref="S5">_xlfn.LET(
  _xlpm.raw, _xlfn.TEXTSPLIT(_xlfn.TEXTJOIN(",",TRUE, B$34:F$34, B$69:F$69, B$104:F$104, B$139:F$139, B$174:F$174,), ","),
  _xlpm.tokens, _xlfn._xlws.FILTER(TRIM(_xlpm.raw), TRIM(_xlpm.raw)&lt;&gt;""),
  IFERROR(SUMPRODUCT(--(_xlpm.tokens=$J5)), 0)
)</f>
        <v>23</v>
      </c>
    </row>
    <row r="6" spans="1:19" x14ac:dyDescent="0.3">
      <c r="A6" s="29" t="s">
        <v>78</v>
      </c>
      <c r="B6" s="35"/>
      <c r="C6" s="35"/>
      <c r="D6" s="35"/>
      <c r="E6" s="35"/>
      <c r="F6" s="35"/>
      <c r="G6" s="39"/>
      <c r="H6" s="39"/>
      <c r="I6" s="28" t="s">
        <v>68</v>
      </c>
      <c r="J6" s="31" t="s">
        <v>4</v>
      </c>
      <c r="K6" s="31" cm="1">
        <f t="array" ref="K6">_xlfn.LET(
  _xlpm.raw, _xlfn.TEXTSPLIT(_xlfn.TEXTJOIN(",",TRUE, B$11:F$11, B$46:F$46, B$81:F$81, B$116:F$116, B$151:F$151), ","),
  _xlpm.tokens, _xlfn._xlws.FILTER(TRIM(_xlpm.raw), TRIM(_xlpm.raw)&lt;&gt;""),
  IFERROR(SUMPRODUCT(--(_xlpm.tokens=$J6)), 0)
)</f>
        <v>0</v>
      </c>
      <c r="L6" s="31" cm="1">
        <f t="array" ref="L6">_xlfn.LET(
  _xlpm.name, $J6,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6" s="31" cm="1">
        <f t="array" ref="M6">_xlfn.LET(
  _xlpm.raw, _xlfn.TEXTSPLIT(_xlfn.TEXTJOIN(",",TRUE, B$12:F$12, B$47:F$47, B$82:F$82, B$117:F$117, B$152:F$152), ","),
  _xlpm.tokens, _xlfn._xlws.FILTER(TRIM(_xlpm.raw), TRIM(_xlpm.raw)&lt;&gt;""),
  IFERROR(SUMPRODUCT(--(_xlpm.tokens=$J6)), 0)
)</f>
        <v>0</v>
      </c>
      <c r="N6" s="31" cm="1">
        <f t="array" ref="N6">_xlfn.LET(
  _xlpm.raw, _xlfn.TEXTSPLIT(_xlfn.TEXTJOIN(",",TRUE, B$28:F$28, B$63:F$63, B$98:F$98, B$133:F$133, B$168:F$168), ","),
  _xlpm.tokens, _xlfn._xlws.FILTER(TRIM(_xlpm.raw), TRIM(_xlpm.raw)&lt;&gt;""),
  IFERROR(SUMPRODUCT(--(_xlpm.tokens=$J6)), 0)
)</f>
        <v>0</v>
      </c>
      <c r="O6" s="31" cm="1">
        <f t="array" ref="O6">_xlfn.LET(
  _xlpm.raw, _xlfn.TEXTSPLIT(_xlfn.TEXTJOIN(",",TRUE, B$32:F$32, B$67:F$67, B$102:F$102, B$137:F$137, B$172:F$172), ","),
  _xlpm.tokens, _xlfn._xlws.FILTER(TRIM(_xlpm.raw), TRIM(_xlpm.raw)&lt;&gt;""),
  IFERROR(SUMPRODUCT(--(_xlpm.tokens=$J6)), 0)
)</f>
        <v>0</v>
      </c>
      <c r="P6" s="31" cm="1">
        <f t="array" ref="P6">_xlfn.LET(
  _xlpm.raw, _xlfn.TEXTSPLIT(_xlfn.TEXTJOIN(",",TRUE, B$33:F$33, B$68:F$68, B$103:F$103, B$138:F$138, B$173:F$173,), ","),
  _xlpm.tokens, _xlfn._xlws.FILTER(TRIM(_xlpm.raw), TRIM(_xlpm.raw)&lt;&gt;""),
  IFERROR(SUMPRODUCT(--(_xlpm.tokens=$J6)), 0)
)</f>
        <v>0</v>
      </c>
      <c r="Q6" s="31"/>
      <c r="R6" s="32" cm="1">
        <f t="array" ref="R6">_xlfn.LET(
  _xlpm.raw, _xlfn.TEXTSPLIT(_xlfn.TEXTJOIN(",",TRUE, B$9:H$9, B$44:H$44, B$79:H$79, B$114:H$114, B$149:H$149), ","),
  _xlpm.tokens, _xlfn._xlws.FILTER(TRIM(_xlpm.raw), TRIM(_xlpm.raw)&lt;&gt;""),
  IFERROR(SUMPRODUCT(--(_xlpm.tokens=$J6)), 0)
)</f>
        <v>0</v>
      </c>
      <c r="S6" s="32" cm="1">
        <f t="array" ref="S6">_xlfn.LET(
  _xlpm.raw, _xlfn.TEXTSPLIT(_xlfn.TEXTJOIN(",",TRUE, B$34:F$34, B$69:F$69, B$104:F$104, B$139:F$139, B$174:F$174,), ","),
  _xlpm.tokens, _xlfn._xlws.FILTER(TRIM(_xlpm.raw), TRIM(_xlpm.raw)&lt;&gt;""),
  IFERROR(SUMPRODUCT(--(_xlpm.tokens=$J6)), 0)
)</f>
        <v>23</v>
      </c>
    </row>
    <row r="7" spans="1:19" x14ac:dyDescent="0.3">
      <c r="A7" s="29" t="s">
        <v>12</v>
      </c>
      <c r="B7" s="41">
        <f>IFERROR(_xlfn.XLOOKUP(B$2, תורנויות!$B:$B, תורנויות!$D:$D, ""), "")</f>
        <v>0</v>
      </c>
      <c r="C7" s="41">
        <f>IFERROR(_xlfn.XLOOKUP(C$2, תורנויות!$B:$B, תורנויות!$D:$D, ""), "")</f>
        <v>0</v>
      </c>
      <c r="D7" s="41">
        <f>IFERROR(_xlfn.XLOOKUP(D$2, תורנויות!$B:$B, תורנויות!$D:$D, ""), "")</f>
        <v>0</v>
      </c>
      <c r="E7" s="41">
        <f>IFERROR(_xlfn.XLOOKUP(E$2, תורנויות!$B:$B, תורנויות!$D:$D, ""), "")</f>
        <v>0</v>
      </c>
      <c r="F7" s="41">
        <f>IFERROR(_xlfn.XLOOKUP(F$2, תורנויות!$B:$B, תורנויות!$D:$D, ""), "")</f>
        <v>0</v>
      </c>
      <c r="G7" s="42">
        <f>IFERROR(_xlfn.XLOOKUP(G$2, תורנויות!$B:$B, תורנויות!$D:$D, ""), "")</f>
        <v>0</v>
      </c>
      <c r="H7" s="42">
        <f>IFERROR(_xlfn.XLOOKUP(H$2, תורנויות!$B:$B, תורנויות!$D:$D, ""), "")</f>
        <v>0</v>
      </c>
      <c r="I7" s="28" t="s">
        <v>43</v>
      </c>
      <c r="J7" s="31" t="s">
        <v>5</v>
      </c>
      <c r="K7" s="31" cm="1">
        <f t="array" ref="K7">_xlfn.LET(
  _xlpm.raw, _xlfn.TEXTSPLIT(_xlfn.TEXTJOIN(",",TRUE, B$11:F$11, B$46:F$46, B$81:F$81, B$116:F$116, B$151:F$151), ","),
  _xlpm.tokens, _xlfn._xlws.FILTER(TRIM(_xlpm.raw), TRIM(_xlpm.raw)&lt;&gt;""),
  IFERROR(SUMPRODUCT(--(_xlpm.tokens=$J7)), 0)
)</f>
        <v>0</v>
      </c>
      <c r="L7" s="31" cm="1">
        <f t="array" ref="L7">_xlfn.LET(
  _xlpm.name, $J7,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7" s="31" cm="1">
        <f t="array" ref="M7">_xlfn.LET(
  _xlpm.raw, _xlfn.TEXTSPLIT(_xlfn.TEXTJOIN(",",TRUE, B$12:F$12, B$47:F$47, B$82:F$82, B$117:F$117, B$152:F$152), ","),
  _xlpm.tokens, _xlfn._xlws.FILTER(TRIM(_xlpm.raw), TRIM(_xlpm.raw)&lt;&gt;""),
  IFERROR(SUMPRODUCT(--(_xlpm.tokens=$J7)), 0)
)</f>
        <v>0</v>
      </c>
      <c r="N7" s="31" cm="1">
        <f t="array" ref="N7">_xlfn.LET(
  _xlpm.raw, _xlfn.TEXTSPLIT(_xlfn.TEXTJOIN(",",TRUE, B$28:F$28, B$63:F$63, B$98:F$98, B$133:F$133, B$168:F$168), ","),
  _xlpm.tokens, _xlfn._xlws.FILTER(TRIM(_xlpm.raw), TRIM(_xlpm.raw)&lt;&gt;""),
  IFERROR(SUMPRODUCT(--(_xlpm.tokens=$J7)), 0)
)</f>
        <v>0</v>
      </c>
      <c r="O7" s="31" cm="1">
        <f t="array" ref="O7">_xlfn.LET(
  _xlpm.raw, _xlfn.TEXTSPLIT(_xlfn.TEXTJOIN(",",TRUE, B$32:F$32, B$67:F$67, B$102:F$102, B$137:F$137, B$172:F$172), ","),
  _xlpm.tokens, _xlfn._xlws.FILTER(TRIM(_xlpm.raw), TRIM(_xlpm.raw)&lt;&gt;""),
  IFERROR(SUMPRODUCT(--(_xlpm.tokens=$J7)), 0)
)</f>
        <v>0</v>
      </c>
      <c r="P7" s="31" cm="1">
        <f t="array" ref="P7">_xlfn.LET(
  _xlpm.raw, _xlfn.TEXTSPLIT(_xlfn.TEXTJOIN(",",TRUE, B$33:F$33, B$68:F$68, B$103:F$103, B$138:F$138, B$173:F$173,), ","),
  _xlpm.tokens, _xlfn._xlws.FILTER(TRIM(_xlpm.raw), TRIM(_xlpm.raw)&lt;&gt;""),
  IFERROR(SUMPRODUCT(--(_xlpm.tokens=$J7)), 0)
)</f>
        <v>0</v>
      </c>
      <c r="Q7" s="31"/>
      <c r="R7" s="32" cm="1">
        <f t="array" ref="R7">_xlfn.LET(
  _xlpm.raw, _xlfn.TEXTSPLIT(_xlfn.TEXTJOIN(",",TRUE, B$9:H$9, B$44:H$44, B$79:H$79, B$114:H$114, B$149:H$149), ","),
  _xlpm.tokens, _xlfn._xlws.FILTER(TRIM(_xlpm.raw), TRIM(_xlpm.raw)&lt;&gt;""),
  IFERROR(SUMPRODUCT(--(_xlpm.tokens=$J7)), 0)
)</f>
        <v>0</v>
      </c>
      <c r="S7" s="32" cm="1">
        <f t="array" ref="S7">_xlfn.LET(
  _xlpm.raw, _xlfn.TEXTSPLIT(_xlfn.TEXTJOIN(",",TRUE, B$34:F$34, B$69:F$69, B$104:F$104, B$139:F$139, B$174:F$174,), ","),
  _xlpm.tokens, _xlfn._xlws.FILTER(TRIM(_xlpm.raw), TRIM(_xlpm.raw)&lt;&gt;""),
  IFERROR(SUMPRODUCT(--(_xlpm.tokens=$J7)), 0)
)</f>
        <v>23</v>
      </c>
    </row>
    <row r="8" spans="1:19" x14ac:dyDescent="0.3">
      <c r="A8" s="29" t="s">
        <v>18</v>
      </c>
      <c r="B8" s="41">
        <f>IFERROR(_xlfn.XLOOKUP(B$2, תורנויות!$B:$B, תורנויות!$E:$E, ""), "")</f>
        <v>0</v>
      </c>
      <c r="C8" s="41">
        <f>IFERROR(_xlfn.XLOOKUP(C$2, תורנויות!$B:$B, תורנויות!$E:$E, ""), "")</f>
        <v>0</v>
      </c>
      <c r="D8" s="41">
        <f>IFERROR(_xlfn.XLOOKUP(D$2, תורנויות!$B:$B, תורנויות!$E:$E, ""), "")</f>
        <v>0</v>
      </c>
      <c r="E8" s="41">
        <f>IFERROR(_xlfn.XLOOKUP(E$2, תורנויות!$B:$B, תורנויות!$E:$E, ""), "")</f>
        <v>0</v>
      </c>
      <c r="F8" s="41">
        <f>IFERROR(_xlfn.XLOOKUP(F$2, תורנויות!$B:$B, תורנויות!$E:$E, ""), "")</f>
        <v>0</v>
      </c>
      <c r="G8" s="42">
        <f>IFERROR(_xlfn.XLOOKUP(G$2, תורנויות!$B:$B, תורנויות!$E:$E, ""), "")</f>
        <v>0</v>
      </c>
      <c r="H8" s="42">
        <f>IFERROR(_xlfn.XLOOKUP(H$2, תורנויות!$B:$B, תורנויות!$E:$E, ""), "")</f>
        <v>0</v>
      </c>
      <c r="I8" s="28" t="s">
        <v>76</v>
      </c>
      <c r="J8" s="31" t="s">
        <v>6</v>
      </c>
      <c r="K8" s="31" cm="1">
        <f t="array" ref="K8">_xlfn.LET(
  _xlpm.raw, _xlfn.TEXTSPLIT(_xlfn.TEXTJOIN(",",TRUE, B$11:F$11, B$46:F$46, B$81:F$81, B$116:F$116, B$151:F$151), ","),
  _xlpm.tokens, _xlfn._xlws.FILTER(TRIM(_xlpm.raw), TRIM(_xlpm.raw)&lt;&gt;""),
  IFERROR(SUMPRODUCT(--(_xlpm.tokens=$J8)), 0)
)</f>
        <v>0</v>
      </c>
      <c r="L8" s="31" cm="1">
        <f t="array" ref="L8">_xlfn.LET(
  _xlpm.name, $J8,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8" s="31" cm="1">
        <f t="array" ref="M8">_xlfn.LET(
  _xlpm.raw, _xlfn.TEXTSPLIT(_xlfn.TEXTJOIN(",",TRUE, B$12:F$12, B$47:F$47, B$82:F$82, B$117:F$117, B$152:F$152), ","),
  _xlpm.tokens, _xlfn._xlws.FILTER(TRIM(_xlpm.raw), TRIM(_xlpm.raw)&lt;&gt;""),
  IFERROR(SUMPRODUCT(--(_xlpm.tokens=$J8)), 0)
)</f>
        <v>0</v>
      </c>
      <c r="N8" s="31" cm="1">
        <f t="array" ref="N8">_xlfn.LET(
  _xlpm.raw, _xlfn.TEXTSPLIT(_xlfn.TEXTJOIN(",",TRUE, B$28:F$28, B$63:F$63, B$98:F$98, B$133:F$133, B$168:F$168), ","),
  _xlpm.tokens, _xlfn._xlws.FILTER(TRIM(_xlpm.raw), TRIM(_xlpm.raw)&lt;&gt;""),
  IFERROR(SUMPRODUCT(--(_xlpm.tokens=$J8)), 0)
)</f>
        <v>0</v>
      </c>
      <c r="O8" s="31" cm="1">
        <f t="array" ref="O8">_xlfn.LET(
  _xlpm.raw, _xlfn.TEXTSPLIT(_xlfn.TEXTJOIN(",",TRUE, B$32:F$32, B$67:F$67, B$102:F$102, B$137:F$137, B$172:F$172), ","),
  _xlpm.tokens, _xlfn._xlws.FILTER(TRIM(_xlpm.raw), TRIM(_xlpm.raw)&lt;&gt;""),
  IFERROR(SUMPRODUCT(--(_xlpm.tokens=$J8)), 0)
)</f>
        <v>0</v>
      </c>
      <c r="P8" s="31" cm="1">
        <f t="array" ref="P8">_xlfn.LET(
  _xlpm.raw, _xlfn.TEXTSPLIT(_xlfn.TEXTJOIN(",",TRUE, B$33:F$33, B$68:F$68, B$103:F$103, B$138:F$138, B$173:F$173,), ","),
  _xlpm.tokens, _xlfn._xlws.FILTER(TRIM(_xlpm.raw), TRIM(_xlpm.raw)&lt;&gt;""),
  IFERROR(SUMPRODUCT(--(_xlpm.tokens=$J8)), 0)
)</f>
        <v>0</v>
      </c>
      <c r="Q8" s="31"/>
      <c r="R8" s="32" cm="1">
        <f t="array" ref="R8">_xlfn.LET(
  _xlpm.raw, _xlfn.TEXTSPLIT(_xlfn.TEXTJOIN(",",TRUE, B$9:H$9, B$44:H$44, B$79:H$79, B$114:H$114, B$149:H$149), ","),
  _xlpm.tokens, _xlfn._xlws.FILTER(TRIM(_xlpm.raw), TRIM(_xlpm.raw)&lt;&gt;""),
  IFERROR(SUMPRODUCT(--(_xlpm.tokens=$J8)), 0)
)</f>
        <v>0</v>
      </c>
      <c r="S8" s="32" cm="1">
        <f t="array" ref="S8">_xlfn.LET(
  _xlpm.raw, _xlfn.TEXTSPLIT(_xlfn.TEXTJOIN(",",TRUE, B$34:F$34, B$69:F$69, B$104:F$104, B$139:F$139, B$174:F$174,), ","),
  _xlpm.tokens, _xlfn._xlws.FILTER(TRIM(_xlpm.raw), TRIM(_xlpm.raw)&lt;&gt;""),
  IFERROR(SUMPRODUCT(--(_xlpm.tokens=$J8)), 0)
)</f>
        <v>23</v>
      </c>
    </row>
    <row r="9" spans="1:19" x14ac:dyDescent="0.3">
      <c r="A9" s="29" t="s">
        <v>20</v>
      </c>
      <c r="B9" s="35">
        <f>IFERROR(_xlfn.XLOOKUP(B$2, תורנויות!$B:$B, תורנויות!$F:$F, ""), "")</f>
        <v>0</v>
      </c>
      <c r="C9" s="35">
        <f>IFERROR(_xlfn.XLOOKUP(C$2, תורנויות!$B:$B, תורנויות!$F:$F, ""), "")</f>
        <v>0</v>
      </c>
      <c r="D9" s="35">
        <f>IFERROR(_xlfn.XLOOKUP(D$2, תורנויות!$B:$B, תורנויות!$F:$F, ""), "")</f>
        <v>0</v>
      </c>
      <c r="E9" s="35">
        <f>IFERROR(_xlfn.XLOOKUP(E$2, תורנויות!$B:$B, תורנויות!$F:$F, ""), "")</f>
        <v>0</v>
      </c>
      <c r="F9" s="35">
        <f>IFERROR(_xlfn.XLOOKUP(F$2, תורנויות!$B:$B, תורנויות!$F:$F, ""), "")</f>
        <v>0</v>
      </c>
      <c r="G9" s="39">
        <f>IFERROR(_xlfn.XLOOKUP(G$2, תורנויות!$B:$B, תורנויות!$F:$F, ""), "")</f>
        <v>0</v>
      </c>
      <c r="H9" s="39">
        <f>IFERROR(_xlfn.XLOOKUP(H$2, תורנויות!$B:$B, תורנויות!$F:$F, ""), "")</f>
        <v>0</v>
      </c>
      <c r="I9" s="28"/>
      <c r="J9" s="31" t="s">
        <v>34</v>
      </c>
      <c r="K9" s="31" cm="1">
        <f t="array" ref="K9">_xlfn.LET(
  _xlpm.raw, _xlfn.TEXTSPLIT(_xlfn.TEXTJOIN(",",TRUE, B$11:F$11, B$46:F$46, B$81:F$81, B$116:F$116, B$151:F$151), ","),
  _xlpm.tokens, _xlfn._xlws.FILTER(TRIM(_xlpm.raw), TRIM(_xlpm.raw)&lt;&gt;""),
  IFERROR(SUMPRODUCT(--(_xlpm.tokens=$J9)), 0)
)</f>
        <v>0</v>
      </c>
      <c r="L9" s="31" cm="1">
        <f t="array" ref="L9">_xlfn.LET(
  _xlpm.name, $J9,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9" s="31" cm="1">
        <f t="array" ref="M9">_xlfn.LET(
  _xlpm.raw, _xlfn.TEXTSPLIT(_xlfn.TEXTJOIN(",",TRUE, B$12:F$12, B$47:F$47, B$82:F$82, B$117:F$117, B$152:F$152), ","),
  _xlpm.tokens, _xlfn._xlws.FILTER(TRIM(_xlpm.raw), TRIM(_xlpm.raw)&lt;&gt;""),
  IFERROR(SUMPRODUCT(--(_xlpm.tokens=$J9)), 0)
)</f>
        <v>0</v>
      </c>
      <c r="N9" s="31" cm="1">
        <f t="array" ref="N9">_xlfn.LET(
  _xlpm.raw, _xlfn.TEXTSPLIT(_xlfn.TEXTJOIN(",",TRUE, B$28:F$28, B$63:F$63, B$98:F$98, B$133:F$133, B$168:F$168), ","),
  _xlpm.tokens, _xlfn._xlws.FILTER(TRIM(_xlpm.raw), TRIM(_xlpm.raw)&lt;&gt;""),
  IFERROR(SUMPRODUCT(--(_xlpm.tokens=$J9)), 0)
)</f>
        <v>0</v>
      </c>
      <c r="O9" s="31" cm="1">
        <f t="array" ref="O9">_xlfn.LET(
  _xlpm.raw, _xlfn.TEXTSPLIT(_xlfn.TEXTJOIN(",",TRUE, B$32:F$32, B$67:F$67, B$102:F$102, B$137:F$137, B$172:F$172), ","),
  _xlpm.tokens, _xlfn._xlws.FILTER(TRIM(_xlpm.raw), TRIM(_xlpm.raw)&lt;&gt;""),
  IFERROR(SUMPRODUCT(--(_xlpm.tokens=$J9)), 0)
)</f>
        <v>0</v>
      </c>
      <c r="P9" s="31" cm="1">
        <f t="array" ref="P9">_xlfn.LET(
  _xlpm.raw, _xlfn.TEXTSPLIT(_xlfn.TEXTJOIN(",",TRUE, B$33:F$33, B$68:F$68, B$103:F$103, B$138:F$138, B$173:F$173,), ","),
  _xlpm.tokens, _xlfn._xlws.FILTER(TRIM(_xlpm.raw), TRIM(_xlpm.raw)&lt;&gt;""),
  IFERROR(SUMPRODUCT(--(_xlpm.tokens=$J9)), 0)
)</f>
        <v>0</v>
      </c>
      <c r="Q9" s="31"/>
      <c r="R9" s="32" cm="1">
        <f t="array" ref="R9">_xlfn.LET(
  _xlpm.raw, _xlfn.TEXTSPLIT(_xlfn.TEXTJOIN(",",TRUE, B$9:H$9, B$44:H$44, B$79:H$79, B$114:H$114, B$149:H$149), ","),
  _xlpm.tokens, _xlfn._xlws.FILTER(TRIM(_xlpm.raw), TRIM(_xlpm.raw)&lt;&gt;""),
  IFERROR(SUMPRODUCT(--(_xlpm.tokens=$J9)), 0)
)</f>
        <v>0</v>
      </c>
      <c r="S9" s="32" cm="1">
        <f t="array" ref="S9">_xlfn.LET(
  _xlpm.raw, _xlfn.TEXTSPLIT(_xlfn.TEXTJOIN(",",TRUE, B$34:F$34, B$69:F$69, B$104:F$104, B$139:F$139, B$174:F$174,), ","),
  _xlpm.tokens, _xlfn._xlws.FILTER(TRIM(_xlpm.raw), TRIM(_xlpm.raw)&lt;&gt;""),
  IFERROR(SUMPRODUCT(--(_xlpm.tokens=$J9)), 0)
)</f>
        <v>23</v>
      </c>
    </row>
    <row r="10" spans="1:19" x14ac:dyDescent="0.3">
      <c r="A10" s="29" t="s">
        <v>77</v>
      </c>
      <c r="B10" s="35"/>
      <c r="C10" s="35"/>
      <c r="D10" s="35"/>
      <c r="E10" s="35"/>
      <c r="F10" s="35"/>
      <c r="G10" s="39"/>
      <c r="H10" s="39"/>
      <c r="I10" s="28"/>
      <c r="J10" s="31" t="s">
        <v>3</v>
      </c>
      <c r="K10" s="31" cm="1">
        <f t="array" ref="K10">_xlfn.LET(
  _xlpm.raw, _xlfn.TEXTSPLIT(_xlfn.TEXTJOIN(",",TRUE, B$11:F$11, B$46:F$46, B$81:F$81, B$116:F$116, B$151:F$151), ","),
  _xlpm.tokens, _xlfn._xlws.FILTER(TRIM(_xlpm.raw), TRIM(_xlpm.raw)&lt;&gt;""),
  IFERROR(SUMPRODUCT(--(_xlpm.tokens=$J10)), 0)
)</f>
        <v>0</v>
      </c>
      <c r="L10" s="31" cm="1">
        <f t="array" ref="L10">_xlfn.LET(
  _xlpm.name, $J10,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0" s="31" cm="1">
        <f t="array" ref="M10">_xlfn.LET(
  _xlpm.raw, _xlfn.TEXTSPLIT(_xlfn.TEXTJOIN(",",TRUE, B$12:F$12, B$47:F$47, B$82:F$82, B$117:F$117, B$152:F$152), ","),
  _xlpm.tokens, _xlfn._xlws.FILTER(TRIM(_xlpm.raw), TRIM(_xlpm.raw)&lt;&gt;""),
  IFERROR(SUMPRODUCT(--(_xlpm.tokens=$J10)), 0)
)</f>
        <v>0</v>
      </c>
      <c r="N10" s="31" cm="1">
        <f t="array" ref="N10">_xlfn.LET(
  _xlpm.raw, _xlfn.TEXTSPLIT(_xlfn.TEXTJOIN(",",TRUE, B$28:F$28, B$63:F$63, B$98:F$98, B$133:F$133, B$168:F$168), ","),
  _xlpm.tokens, _xlfn._xlws.FILTER(TRIM(_xlpm.raw), TRIM(_xlpm.raw)&lt;&gt;""),
  IFERROR(SUMPRODUCT(--(_xlpm.tokens=$J10)), 0)
)</f>
        <v>0</v>
      </c>
      <c r="O10" s="31" cm="1">
        <f t="array" ref="O10">_xlfn.LET(
  _xlpm.raw, _xlfn.TEXTSPLIT(_xlfn.TEXTJOIN(",",TRUE, B$32:F$32, B$67:F$67, B$102:F$102, B$137:F$137, B$172:F$172), ","),
  _xlpm.tokens, _xlfn._xlws.FILTER(TRIM(_xlpm.raw), TRIM(_xlpm.raw)&lt;&gt;""),
  IFERROR(SUMPRODUCT(--(_xlpm.tokens=$J10)), 0)
)</f>
        <v>0</v>
      </c>
      <c r="P10" s="31" cm="1">
        <f t="array" ref="P10">_xlfn.LET(
  _xlpm.raw, _xlfn.TEXTSPLIT(_xlfn.TEXTJOIN(",",TRUE, B$33:F$33, B$68:F$68, B$103:F$103, B$138:F$138, B$173:F$173,), ","),
  _xlpm.tokens, _xlfn._xlws.FILTER(TRIM(_xlpm.raw), TRIM(_xlpm.raw)&lt;&gt;""),
  IFERROR(SUMPRODUCT(--(_xlpm.tokens=$J10)), 0)
)</f>
        <v>0</v>
      </c>
      <c r="Q10" s="31"/>
      <c r="R10" s="32" cm="1">
        <f t="array" ref="R10">_xlfn.LET(
  _xlpm.raw, _xlfn.TEXTSPLIT(_xlfn.TEXTJOIN(",",TRUE, B$9:H$9, B$44:H$44, B$79:H$79, B$114:H$114, B$149:H$149), ","),
  _xlpm.tokens, _xlfn._xlws.FILTER(TRIM(_xlpm.raw), TRIM(_xlpm.raw)&lt;&gt;""),
  IFERROR(SUMPRODUCT(--(_xlpm.tokens=$J10)), 0)
)</f>
        <v>0</v>
      </c>
      <c r="S10" s="32" cm="1">
        <f t="array" ref="S10">_xlfn.LET(
  _xlpm.raw, _xlfn.TEXTSPLIT(_xlfn.TEXTJOIN(",",TRUE, B$34:F$34, B$69:F$69, B$104:F$104, B$139:F$139, B$174:F$174,), ","),
  _xlpm.tokens, _xlfn._xlws.FILTER(TRIM(_xlpm.raw), TRIM(_xlpm.raw)&lt;&gt;""),
  IFERROR(SUMPRODUCT(--(_xlpm.tokens=$J10)), 0)
)</f>
        <v>23</v>
      </c>
    </row>
    <row r="11" spans="1:19" x14ac:dyDescent="0.3">
      <c r="A11" s="29" t="s">
        <v>22</v>
      </c>
      <c r="B11" s="35"/>
      <c r="C11" s="35"/>
      <c r="D11" s="35"/>
      <c r="E11" s="35"/>
      <c r="F11" s="35"/>
      <c r="G11" s="39"/>
      <c r="H11" s="39"/>
      <c r="I11" s="28"/>
      <c r="J11" s="31" t="s">
        <v>32</v>
      </c>
      <c r="K11" s="31" cm="1">
        <f t="array" ref="K11">_xlfn.LET(
  _xlpm.raw, _xlfn.TEXTSPLIT(_xlfn.TEXTJOIN(",",TRUE, B$11:F$11, B$46:F$46, B$81:F$81, B$116:F$116, B$151:F$151), ","),
  _xlpm.tokens, _xlfn._xlws.FILTER(TRIM(_xlpm.raw), TRIM(_xlpm.raw)&lt;&gt;""),
  IFERROR(SUMPRODUCT(--(_xlpm.tokens=$J11)), 0)
)</f>
        <v>0</v>
      </c>
      <c r="L11" s="31" cm="1">
        <f t="array" ref="L11">_xlfn.LET(
  _xlpm.name, $J11,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1" s="31" cm="1">
        <f t="array" ref="M11">_xlfn.LET(
  _xlpm.raw, _xlfn.TEXTSPLIT(_xlfn.TEXTJOIN(",",TRUE, B$12:F$12, B$47:F$47, B$82:F$82, B$117:F$117, B$152:F$152), ","),
  _xlpm.tokens, _xlfn._xlws.FILTER(TRIM(_xlpm.raw), TRIM(_xlpm.raw)&lt;&gt;""),
  IFERROR(SUMPRODUCT(--(_xlpm.tokens=$J11)), 0)
)</f>
        <v>0</v>
      </c>
      <c r="N11" s="31" cm="1">
        <f t="array" ref="N11">_xlfn.LET(
  _xlpm.raw, _xlfn.TEXTSPLIT(_xlfn.TEXTJOIN(",",TRUE, B$28:F$28, B$63:F$63, B$98:F$98, B$133:F$133, B$168:F$168), ","),
  _xlpm.tokens, _xlfn._xlws.FILTER(TRIM(_xlpm.raw), TRIM(_xlpm.raw)&lt;&gt;""),
  IFERROR(SUMPRODUCT(--(_xlpm.tokens=$J11)), 0)
)</f>
        <v>0</v>
      </c>
      <c r="O11" s="31" cm="1">
        <f t="array" ref="O11">_xlfn.LET(
  _xlpm.raw, _xlfn.TEXTSPLIT(_xlfn.TEXTJOIN(",",TRUE, B$32:F$32, B$67:F$67, B$102:F$102, B$137:F$137, B$172:F$172), ","),
  _xlpm.tokens, _xlfn._xlws.FILTER(TRIM(_xlpm.raw), TRIM(_xlpm.raw)&lt;&gt;""),
  IFERROR(SUMPRODUCT(--(_xlpm.tokens=$J11)), 0)
)</f>
        <v>0</v>
      </c>
      <c r="P11" s="31" cm="1">
        <f t="array" ref="P11">_xlfn.LET(
  _xlpm.raw, _xlfn.TEXTSPLIT(_xlfn.TEXTJOIN(",",TRUE, B$33:F$33, B$68:F$68, B$103:F$103, B$138:F$138, B$173:F$173,), ","),
  _xlpm.tokens, _xlfn._xlws.FILTER(TRIM(_xlpm.raw), TRIM(_xlpm.raw)&lt;&gt;""),
  IFERROR(SUMPRODUCT(--(_xlpm.tokens=$J11)), 0)
)</f>
        <v>0</v>
      </c>
      <c r="Q11" s="31"/>
      <c r="R11" s="32" cm="1">
        <f t="array" ref="R11">_xlfn.LET(
  _xlpm.raw, _xlfn.TEXTSPLIT(_xlfn.TEXTJOIN(",",TRUE, B$9:H$9, B$44:H$44, B$79:H$79, B$114:H$114, B$149:H$149), ","),
  _xlpm.tokens, _xlfn._xlws.FILTER(TRIM(_xlpm.raw), TRIM(_xlpm.raw)&lt;&gt;""),
  IFERROR(SUMPRODUCT(--(_xlpm.tokens=$J11)), 0)
)</f>
        <v>0</v>
      </c>
      <c r="S11" s="32" cm="1">
        <f t="array" ref="S11">_xlfn.LET(
  _xlpm.raw, _xlfn.TEXTSPLIT(_xlfn.TEXTJOIN(",",TRUE, B$34:F$34, B$69:F$69, B$104:F$104, B$139:F$139, B$174:F$174,), ","),
  _xlpm.tokens, _xlfn._xlws.FILTER(TRIM(_xlpm.raw), TRIM(_xlpm.raw)&lt;&gt;""),
  IFERROR(SUMPRODUCT(--(_xlpm.tokens=$J11)), 0)
)</f>
        <v>0</v>
      </c>
    </row>
    <row r="12" spans="1:19" x14ac:dyDescent="0.3">
      <c r="A12" s="29" t="s">
        <v>24</v>
      </c>
      <c r="B12" s="35"/>
      <c r="C12" s="35"/>
      <c r="D12" s="35"/>
      <c r="E12" s="36"/>
      <c r="F12" s="35"/>
      <c r="G12" s="39"/>
      <c r="H12" s="39"/>
      <c r="I12" s="28"/>
      <c r="J12" s="33" t="s">
        <v>23</v>
      </c>
      <c r="K12" s="33" cm="1">
        <f t="array" ref="K12">_xlfn.LET(
  _xlpm.raw, _xlfn.TEXTSPLIT(_xlfn.TEXTJOIN(",",TRUE, B$11:F$11, B$46:F$46, B$81:F$81, B$116:F$116, B$151:F$151), ","),
  _xlpm.tokens, _xlfn._xlws.FILTER(TRIM(_xlpm.raw), TRIM(_xlpm.raw)&lt;&gt;""),
  IFERROR(SUMPRODUCT(--(_xlpm.tokens=$J12)), 0)
)</f>
        <v>0</v>
      </c>
      <c r="L12" s="33" cm="1">
        <f t="array" ref="L12">_xlfn.LET(
  _xlpm.name, $J12,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2" s="33" cm="1">
        <f t="array" ref="M12">_xlfn.LET(
  _xlpm.raw, _xlfn.TEXTSPLIT(_xlfn.TEXTJOIN(",",TRUE, B$12:F$12, B$47:F$47, B$82:F$82, B$117:F$117, B$152:F$152), ","),
  _xlpm.tokens, _xlfn._xlws.FILTER(TRIM(_xlpm.raw), TRIM(_xlpm.raw)&lt;&gt;""),
  IFERROR(SUMPRODUCT(--(_xlpm.tokens=$J12)), 0)
)</f>
        <v>0</v>
      </c>
      <c r="N12" s="33" cm="1">
        <f t="array" ref="N12">_xlfn.LET(
  _xlpm.raw, _xlfn.TEXTSPLIT(_xlfn.TEXTJOIN(",",TRUE, B$28:F$28, B$63:F$63, B$98:F$98, B$133:F$133, B$168:F$168), ","),
  _xlpm.tokens, _xlfn._xlws.FILTER(TRIM(_xlpm.raw), TRIM(_xlpm.raw)&lt;&gt;""),
  IFERROR(SUMPRODUCT(--(_xlpm.tokens=$J12)), 0)
)</f>
        <v>0</v>
      </c>
      <c r="O12" s="33" cm="1">
        <f t="array" ref="O12">_xlfn.LET(
  _xlpm.raw, _xlfn.TEXTSPLIT(_xlfn.TEXTJOIN(",",TRUE, B$32:F$32, B$67:F$67, B$102:F$102, B$137:F$137, B$172:F$172), ","),
  _xlpm.tokens, _xlfn._xlws.FILTER(TRIM(_xlpm.raw), TRIM(_xlpm.raw)&lt;&gt;""),
  IFERROR(SUMPRODUCT(--(_xlpm.tokens=$J12)), 0)
)</f>
        <v>0</v>
      </c>
      <c r="P12" s="33" cm="1">
        <f t="array" ref="P12">_xlfn.LET(
  _xlpm.raw, _xlfn.TEXTSPLIT(_xlfn.TEXTJOIN(",",TRUE, B$33:F$33, B$68:F$68, B$103:F$103, B$138:F$138, B$173:F$173,), ","),
  _xlpm.tokens, _xlfn._xlws.FILTER(TRIM(_xlpm.raw), TRIM(_xlpm.raw)&lt;&gt;""),
  IFERROR(SUMPRODUCT(--(_xlpm.tokens=$J12)), 0)
)</f>
        <v>0</v>
      </c>
      <c r="Q12" s="33" cm="1">
        <f t="array" ref="Q12">_xlfn.LET(
  _xlpm.raw, _xlfn.TEXTSPLIT(_xlfn.TEXTJOIN(",",TRUE, B$7:H$8, B$42:H$43, B$77:H$78, B$112:H$113, B$147:H$148), ","),
  _xlpm.tokens, _xlfn._xlws.FILTER(TRIM(_xlpm.raw), TRIM(_xlpm.raw)&lt;&gt;""),
  IFERROR(SUMPRODUCT(--(_xlpm.tokens=$J12)), 0)
)</f>
        <v>0</v>
      </c>
      <c r="R12" s="33"/>
      <c r="S12" s="33" cm="1">
        <f t="array" ref="S12">_xlfn.LET(
  _xlpm.raw, _xlfn.TEXTSPLIT(_xlfn.TEXTJOIN(",",TRUE, B$34:F$34, B$69:F$69, B$104:F$104, B$139:F$139, B$174:F$174,), ","),
  _xlpm.tokens, _xlfn._xlws.FILTER(TRIM(_xlpm.raw), TRIM(_xlpm.raw)&lt;&gt;""),
  IFERROR(SUMPRODUCT(--(_xlpm.tokens=$J12)), 0)
)</f>
        <v>23</v>
      </c>
    </row>
    <row r="13" spans="1:19" x14ac:dyDescent="0.3">
      <c r="A13" s="29" t="s">
        <v>25</v>
      </c>
      <c r="B13" s="35"/>
      <c r="C13" s="35"/>
      <c r="D13" s="35"/>
      <c r="E13" s="35"/>
      <c r="F13" s="35"/>
      <c r="G13" s="39"/>
      <c r="H13" s="39"/>
      <c r="I13" s="28"/>
      <c r="J13" s="33" t="s">
        <v>11</v>
      </c>
      <c r="K13" s="33" cm="1">
        <f t="array" ref="K13">_xlfn.LET(
  _xlpm.raw, _xlfn.TEXTSPLIT(_xlfn.TEXTJOIN(",",TRUE, B$11:F$11, B$46:F$46, B$81:F$81, B$116:F$116, B$151:F$151), ","),
  _xlpm.tokens, _xlfn._xlws.FILTER(TRIM(_xlpm.raw), TRIM(_xlpm.raw)&lt;&gt;""),
  IFERROR(SUMPRODUCT(--(_xlpm.tokens=$J13)), 0)
)</f>
        <v>0</v>
      </c>
      <c r="L13" s="33" cm="1">
        <f t="array" ref="L13">_xlfn.LET(
  _xlpm.name, $J13,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3" s="33" cm="1">
        <f t="array" ref="M13">_xlfn.LET(
  _xlpm.raw, _xlfn.TEXTSPLIT(_xlfn.TEXTJOIN(",",TRUE, B$12:F$12, B$47:F$47, B$82:F$82, B$117:F$117, B$152:F$152), ","),
  _xlpm.tokens, _xlfn._xlws.FILTER(TRIM(_xlpm.raw), TRIM(_xlpm.raw)&lt;&gt;""),
  IFERROR(SUMPRODUCT(--(_xlpm.tokens=$J13)), 0)
)</f>
        <v>0</v>
      </c>
      <c r="N13" s="33" cm="1">
        <f t="array" ref="N13">_xlfn.LET(
  _xlpm.raw, _xlfn.TEXTSPLIT(_xlfn.TEXTJOIN(",",TRUE, B$28:F$28, B$63:F$63, B$98:F$98, B$133:F$133, B$168:F$168), ","),
  _xlpm.tokens, _xlfn._xlws.FILTER(TRIM(_xlpm.raw), TRIM(_xlpm.raw)&lt;&gt;""),
  IFERROR(SUMPRODUCT(--(_xlpm.tokens=$J13)), 0)
)</f>
        <v>0</v>
      </c>
      <c r="O13" s="33" cm="1">
        <f t="array" ref="O13">_xlfn.LET(
  _xlpm.raw, _xlfn.TEXTSPLIT(_xlfn.TEXTJOIN(",",TRUE, B$32:F$32, B$67:F$67, B$102:F$102, B$137:F$137, B$172:F$172), ","),
  _xlpm.tokens, _xlfn._xlws.FILTER(TRIM(_xlpm.raw), TRIM(_xlpm.raw)&lt;&gt;""),
  IFERROR(SUMPRODUCT(--(_xlpm.tokens=$J13)), 0)
)</f>
        <v>0</v>
      </c>
      <c r="P13" s="33" cm="1">
        <f t="array" ref="P13">_xlfn.LET(
  _xlpm.raw, _xlfn.TEXTSPLIT(_xlfn.TEXTJOIN(",",TRUE, B$33:F$33, B$68:F$68, B$103:F$103, B$138:F$138, B$173:F$173,), ","),
  _xlpm.tokens, _xlfn._xlws.FILTER(TRIM(_xlpm.raw), TRIM(_xlpm.raw)&lt;&gt;""),
  IFERROR(SUMPRODUCT(--(_xlpm.tokens=$J13)), 0)
)</f>
        <v>0</v>
      </c>
      <c r="Q13" s="33" cm="1">
        <f t="array" ref="Q13">_xlfn.LET(
  _xlpm.raw, _xlfn.TEXTSPLIT(_xlfn.TEXTJOIN(",",TRUE, B$7:H$8, B$42:H$43, B$77:H$78, B$112:H$113, B$147:H$148), ","),
  _xlpm.tokens, _xlfn._xlws.FILTER(TRIM(_xlpm.raw), TRIM(_xlpm.raw)&lt;&gt;""),
  IFERROR(SUMPRODUCT(--(_xlpm.tokens=$J13)), 0)
)</f>
        <v>0</v>
      </c>
      <c r="R13" s="33"/>
      <c r="S13" s="33" cm="1">
        <f t="array" ref="S13">_xlfn.LET(
  _xlpm.raw, _xlfn.TEXTSPLIT(_xlfn.TEXTJOIN(",",TRUE, B$34:F$34, B$69:F$69, B$104:F$104, B$139:F$139, B$174:F$174,), ","),
  _xlpm.tokens, _xlfn._xlws.FILTER(TRIM(_xlpm.raw), TRIM(_xlpm.raw)&lt;&gt;""),
  IFERROR(SUMPRODUCT(--(_xlpm.tokens=$J13)), 0)
)</f>
        <v>23</v>
      </c>
    </row>
    <row r="14" spans="1:19" x14ac:dyDescent="0.3">
      <c r="A14" s="29" t="s">
        <v>73</v>
      </c>
      <c r="B14" s="35"/>
      <c r="C14" s="35"/>
      <c r="D14" s="35"/>
      <c r="E14" s="35"/>
      <c r="F14" s="35"/>
      <c r="G14" s="39"/>
      <c r="H14" s="39"/>
      <c r="I14" s="28"/>
      <c r="J14" s="33" t="s">
        <v>14</v>
      </c>
      <c r="K14" s="33" cm="1">
        <f t="array" ref="K14">_xlfn.LET(
  _xlpm.raw, _xlfn.TEXTSPLIT(_xlfn.TEXTJOIN(",",TRUE, B$11:F$11, B$46:F$46, B$81:F$81, B$116:F$116, B$151:F$151), ","),
  _xlpm.tokens, _xlfn._xlws.FILTER(TRIM(_xlpm.raw), TRIM(_xlpm.raw)&lt;&gt;""),
  IFERROR(SUMPRODUCT(--(_xlpm.tokens=$J14)), 0)
)</f>
        <v>0</v>
      </c>
      <c r="L14" s="33" cm="1">
        <f t="array" ref="L14">_xlfn.LET(
  _xlpm.name, $J14,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4" s="33" cm="1">
        <f t="array" ref="M14">_xlfn.LET(
  _xlpm.raw, _xlfn.TEXTSPLIT(_xlfn.TEXTJOIN(",",TRUE, B$12:F$12, B$47:F$47, B$82:F$82, B$117:F$117, B$152:F$152), ","),
  _xlpm.tokens, _xlfn._xlws.FILTER(TRIM(_xlpm.raw), TRIM(_xlpm.raw)&lt;&gt;""),
  IFERROR(SUMPRODUCT(--(_xlpm.tokens=$J14)), 0)
)</f>
        <v>0</v>
      </c>
      <c r="N14" s="33" cm="1">
        <f t="array" ref="N14">_xlfn.LET(
  _xlpm.raw, _xlfn.TEXTSPLIT(_xlfn.TEXTJOIN(",",TRUE, B$28:F$28, B$63:F$63, B$98:F$98, B$133:F$133, B$168:F$168), ","),
  _xlpm.tokens, _xlfn._xlws.FILTER(TRIM(_xlpm.raw), TRIM(_xlpm.raw)&lt;&gt;""),
  IFERROR(SUMPRODUCT(--(_xlpm.tokens=$J14)), 0)
)</f>
        <v>0</v>
      </c>
      <c r="O14" s="33" cm="1">
        <f t="array" ref="O14">_xlfn.LET(
  _xlpm.raw, _xlfn.TEXTSPLIT(_xlfn.TEXTJOIN(",",TRUE, B$32:F$32, B$67:F$67, B$102:F$102, B$137:F$137, B$172:F$172), ","),
  _xlpm.tokens, _xlfn._xlws.FILTER(TRIM(_xlpm.raw), TRIM(_xlpm.raw)&lt;&gt;""),
  IFERROR(SUMPRODUCT(--(_xlpm.tokens=$J14)), 0)
)</f>
        <v>0</v>
      </c>
      <c r="P14" s="33" cm="1">
        <f t="array" ref="P14">_xlfn.LET(
  _xlpm.raw, _xlfn.TEXTSPLIT(_xlfn.TEXTJOIN(",",TRUE, B$33:F$33, B$68:F$68, B$103:F$103, B$138:F$138, B$173:F$173,), ","),
  _xlpm.tokens, _xlfn._xlws.FILTER(TRIM(_xlpm.raw), TRIM(_xlpm.raw)&lt;&gt;""),
  IFERROR(SUMPRODUCT(--(_xlpm.tokens=$J14)), 0)
)</f>
        <v>0</v>
      </c>
      <c r="Q14" s="33" cm="1">
        <f t="array" ref="Q14">_xlfn.LET(
  _xlpm.raw, _xlfn.TEXTSPLIT(_xlfn.TEXTJOIN(",",TRUE, B$7:H$8, B$42:H$43, B$77:H$78, B$112:H$113, B$147:H$148), ","),
  _xlpm.tokens, _xlfn._xlws.FILTER(TRIM(_xlpm.raw), TRIM(_xlpm.raw)&lt;&gt;""),
  IFERROR(SUMPRODUCT(--(_xlpm.tokens=$J14)), 0)
)</f>
        <v>0</v>
      </c>
      <c r="R14" s="33"/>
      <c r="S14" s="33" cm="1">
        <f t="array" ref="S14">_xlfn.LET(
  _xlpm.raw, _xlfn.TEXTSPLIT(_xlfn.TEXTJOIN(",",TRUE, B$34:F$34, B$69:F$69, B$104:F$104, B$139:F$139, B$174:F$174,), ","),
  _xlpm.tokens, _xlfn._xlws.FILTER(TRIM(_xlpm.raw), TRIM(_xlpm.raw)&lt;&gt;""),
  IFERROR(SUMPRODUCT(--(_xlpm.tokens=$J14)), 0)
)</f>
        <v>23</v>
      </c>
    </row>
    <row r="15" spans="1:19" x14ac:dyDescent="0.3">
      <c r="A15" s="29" t="s">
        <v>26</v>
      </c>
      <c r="B15" s="35"/>
      <c r="C15" s="35"/>
      <c r="D15" s="35"/>
      <c r="E15" s="35"/>
      <c r="F15" s="35"/>
      <c r="G15" s="39"/>
      <c r="H15" s="39"/>
      <c r="I15" s="28"/>
      <c r="J15" s="33" t="s">
        <v>17</v>
      </c>
      <c r="K15" s="33" cm="1">
        <f t="array" ref="K15">_xlfn.LET(
  _xlpm.raw, _xlfn.TEXTSPLIT(_xlfn.TEXTJOIN(",",TRUE, B$11:F$11, B$46:F$46, B$81:F$81, B$116:F$116, B$151:F$151), ","),
  _xlpm.tokens, _xlfn._xlws.FILTER(TRIM(_xlpm.raw), TRIM(_xlpm.raw)&lt;&gt;""),
  IFERROR(SUMPRODUCT(--(_xlpm.tokens=$J15)), 0)
)</f>
        <v>0</v>
      </c>
      <c r="L15" s="33" cm="1">
        <f t="array" ref="L15">_xlfn.LET(
  _xlpm.name, $J15,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5" s="33" cm="1">
        <f t="array" ref="M15">_xlfn.LET(
  _xlpm.raw, _xlfn.TEXTSPLIT(_xlfn.TEXTJOIN(",",TRUE, B$12:F$12, B$47:F$47, B$82:F$82, B$117:F$117, B$152:F$152), ","),
  _xlpm.tokens, _xlfn._xlws.FILTER(TRIM(_xlpm.raw), TRIM(_xlpm.raw)&lt;&gt;""),
  IFERROR(SUMPRODUCT(--(_xlpm.tokens=$J15)), 0)
)</f>
        <v>0</v>
      </c>
      <c r="N15" s="33" cm="1">
        <f t="array" ref="N15">_xlfn.LET(
  _xlpm.raw, _xlfn.TEXTSPLIT(_xlfn.TEXTJOIN(",",TRUE, B$28:F$28, B$63:F$63, B$98:F$98, B$133:F$133, B$168:F$168), ","),
  _xlpm.tokens, _xlfn._xlws.FILTER(TRIM(_xlpm.raw), TRIM(_xlpm.raw)&lt;&gt;""),
  IFERROR(SUMPRODUCT(--(_xlpm.tokens=$J15)), 0)
)</f>
        <v>0</v>
      </c>
      <c r="O15" s="33" cm="1">
        <f t="array" ref="O15">_xlfn.LET(
  _xlpm.raw, _xlfn.TEXTSPLIT(_xlfn.TEXTJOIN(",",TRUE, B$32:F$32, B$67:F$67, B$102:F$102, B$137:F$137, B$172:F$172), ","),
  _xlpm.tokens, _xlfn._xlws.FILTER(TRIM(_xlpm.raw), TRIM(_xlpm.raw)&lt;&gt;""),
  IFERROR(SUMPRODUCT(--(_xlpm.tokens=$J15)), 0)
)</f>
        <v>0</v>
      </c>
      <c r="P15" s="33" cm="1">
        <f t="array" ref="P15">_xlfn.LET(
  _xlpm.raw, _xlfn.TEXTSPLIT(_xlfn.TEXTJOIN(",",TRUE, B$33:F$33, B$68:F$68, B$103:F$103, B$138:F$138, B$173:F$173,), ","),
  _xlpm.tokens, _xlfn._xlws.FILTER(TRIM(_xlpm.raw), TRIM(_xlpm.raw)&lt;&gt;""),
  IFERROR(SUMPRODUCT(--(_xlpm.tokens=$J15)), 0)
)</f>
        <v>0</v>
      </c>
      <c r="Q15" s="33" cm="1">
        <f t="array" ref="Q15">_xlfn.LET(
  _xlpm.raw, _xlfn.TEXTSPLIT(_xlfn.TEXTJOIN(",",TRUE, B$7:H$8, B$42:H$43, B$77:H$78, B$112:H$113, B$147:H$148), ","),
  _xlpm.tokens, _xlfn._xlws.FILTER(TRIM(_xlpm.raw), TRIM(_xlpm.raw)&lt;&gt;""),
  IFERROR(SUMPRODUCT(--(_xlpm.tokens=$J15)), 0)
)</f>
        <v>0</v>
      </c>
      <c r="R15" s="33"/>
      <c r="S15" s="33" cm="1">
        <f t="array" ref="S15">_xlfn.LET(
  _xlpm.raw, _xlfn.TEXTSPLIT(_xlfn.TEXTJOIN(",",TRUE, B$34:F$34, B$69:F$69, B$104:F$104, B$139:F$139, B$174:F$174,), ","),
  _xlpm.tokens, _xlfn._xlws.FILTER(TRIM(_xlpm.raw), TRIM(_xlpm.raw)&lt;&gt;""),
  IFERROR(SUMPRODUCT(--(_xlpm.tokens=$J15)), 0)
)</f>
        <v>23</v>
      </c>
    </row>
    <row r="16" spans="1:19" x14ac:dyDescent="0.3">
      <c r="A16" s="29" t="s">
        <v>27</v>
      </c>
      <c r="B16" s="35"/>
      <c r="C16" s="35"/>
      <c r="D16" s="35"/>
      <c r="E16" s="35"/>
      <c r="F16" s="35"/>
      <c r="G16" s="39"/>
      <c r="H16" s="39"/>
      <c r="I16" s="28"/>
      <c r="J16" s="33" t="s">
        <v>19</v>
      </c>
      <c r="K16" s="33" cm="1">
        <f t="array" ref="K16">_xlfn.LET(
  _xlpm.raw, _xlfn.TEXTSPLIT(_xlfn.TEXTJOIN(",",TRUE, B$11:F$11, B$46:F$46, B$81:F$81, B$116:F$116, B$151:F$151), ","),
  _xlpm.tokens, _xlfn._xlws.FILTER(TRIM(_xlpm.raw), TRIM(_xlpm.raw)&lt;&gt;""),
  IFERROR(SUMPRODUCT(--(_xlpm.tokens=$J16)), 0)
)</f>
        <v>0</v>
      </c>
      <c r="L16" s="33" cm="1">
        <f t="array" ref="L16">_xlfn.LET(
  _xlpm.name, $J16,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6" s="33" cm="1">
        <f t="array" ref="M16">_xlfn.LET(
  _xlpm.raw, _xlfn.TEXTSPLIT(_xlfn.TEXTJOIN(",",TRUE, B$12:F$12, B$47:F$47, B$82:F$82, B$117:F$117, B$152:F$152), ","),
  _xlpm.tokens, _xlfn._xlws.FILTER(TRIM(_xlpm.raw), TRIM(_xlpm.raw)&lt;&gt;""),
  IFERROR(SUMPRODUCT(--(_xlpm.tokens=$J16)), 0)
)</f>
        <v>0</v>
      </c>
      <c r="N16" s="33" cm="1">
        <f t="array" ref="N16">_xlfn.LET(
  _xlpm.raw, _xlfn.TEXTSPLIT(_xlfn.TEXTJOIN(",",TRUE, B$28:F$28, B$63:F$63, B$98:F$98, B$133:F$133, B$168:F$168), ","),
  _xlpm.tokens, _xlfn._xlws.FILTER(TRIM(_xlpm.raw), TRIM(_xlpm.raw)&lt;&gt;""),
  IFERROR(SUMPRODUCT(--(_xlpm.tokens=$J16)), 0)
)</f>
        <v>0</v>
      </c>
      <c r="O16" s="33" cm="1">
        <f t="array" ref="O16">_xlfn.LET(
  _xlpm.raw, _xlfn.TEXTSPLIT(_xlfn.TEXTJOIN(",",TRUE, B$32:F$32, B$67:F$67, B$102:F$102, B$137:F$137, B$172:F$172), ","),
  _xlpm.tokens, _xlfn._xlws.FILTER(TRIM(_xlpm.raw), TRIM(_xlpm.raw)&lt;&gt;""),
  IFERROR(SUMPRODUCT(--(_xlpm.tokens=$J16)), 0)
)</f>
        <v>0</v>
      </c>
      <c r="P16" s="33" cm="1">
        <f t="array" ref="P16">_xlfn.LET(
  _xlpm.raw, _xlfn.TEXTSPLIT(_xlfn.TEXTJOIN(",",TRUE, B$33:F$33, B$68:F$68, B$103:F$103, B$138:F$138, B$173:F$173,), ","),
  _xlpm.tokens, _xlfn._xlws.FILTER(TRIM(_xlpm.raw), TRIM(_xlpm.raw)&lt;&gt;""),
  IFERROR(SUMPRODUCT(--(_xlpm.tokens=$J16)), 0)
)</f>
        <v>0</v>
      </c>
      <c r="Q16" s="33" cm="1">
        <f t="array" ref="Q16">_xlfn.LET(
  _xlpm.raw, _xlfn.TEXTSPLIT(_xlfn.TEXTJOIN(",",TRUE, B$7:H$8, B$42:H$43, B$77:H$78, B$112:H$113, B$147:H$148), ","),
  _xlpm.tokens, _xlfn._xlws.FILTER(TRIM(_xlpm.raw), TRIM(_xlpm.raw)&lt;&gt;""),
  IFERROR(SUMPRODUCT(--(_xlpm.tokens=$J16)), 0)
)</f>
        <v>0</v>
      </c>
      <c r="R16" s="33"/>
      <c r="S16" s="33" cm="1">
        <f t="array" ref="S16">_xlfn.LET(
  _xlpm.raw, _xlfn.TEXTSPLIT(_xlfn.TEXTJOIN(",",TRUE, B$34:F$34, B$69:F$69, B$104:F$104, B$139:F$139, B$174:F$174,), ","),
  _xlpm.tokens, _xlfn._xlws.FILTER(TRIM(_xlpm.raw), TRIM(_xlpm.raw)&lt;&gt;""),
  IFERROR(SUMPRODUCT(--(_xlpm.tokens=$J16)), 0)
)</f>
        <v>23</v>
      </c>
    </row>
    <row r="17" spans="1:19" x14ac:dyDescent="0.3">
      <c r="A17" s="29" t="s">
        <v>28</v>
      </c>
      <c r="B17" s="35"/>
      <c r="C17" s="35"/>
      <c r="D17" s="35"/>
      <c r="E17" s="35"/>
      <c r="F17" s="35"/>
      <c r="G17" s="39"/>
      <c r="H17" s="39"/>
      <c r="I17" s="28"/>
      <c r="J17" s="33" t="s">
        <v>13</v>
      </c>
      <c r="K17" s="33" cm="1">
        <f t="array" ref="K17">_xlfn.LET(
  _xlpm.raw, _xlfn.TEXTSPLIT(_xlfn.TEXTJOIN(",",TRUE, B$11:F$11, B$46:F$46, B$81:F$81, B$116:F$116, B$151:F$151), ","),
  _xlpm.tokens, _xlfn._xlws.FILTER(TRIM(_xlpm.raw), TRIM(_xlpm.raw)&lt;&gt;""),
  IFERROR(SUMPRODUCT(--(_xlpm.tokens=$J17)), 0)
)</f>
        <v>0</v>
      </c>
      <c r="L17" s="33" cm="1">
        <f t="array" ref="L17">_xlfn.LET(
  _xlpm.name, $J17,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7" s="33" cm="1">
        <f t="array" ref="M17">_xlfn.LET(
  _xlpm.raw, _xlfn.TEXTSPLIT(_xlfn.TEXTJOIN(",",TRUE, B$12:F$12, B$47:F$47, B$82:F$82, B$117:F$117, B$152:F$152), ","),
  _xlpm.tokens, _xlfn._xlws.FILTER(TRIM(_xlpm.raw), TRIM(_xlpm.raw)&lt;&gt;""),
  IFERROR(SUMPRODUCT(--(_xlpm.tokens=$J17)), 0)
)</f>
        <v>0</v>
      </c>
      <c r="N17" s="33" cm="1">
        <f t="array" ref="N17">_xlfn.LET(
  _xlpm.raw, _xlfn.TEXTSPLIT(_xlfn.TEXTJOIN(",",TRUE, B$28:F$28, B$63:F$63, B$98:F$98, B$133:F$133, B$168:F$168), ","),
  _xlpm.tokens, _xlfn._xlws.FILTER(TRIM(_xlpm.raw), TRIM(_xlpm.raw)&lt;&gt;""),
  IFERROR(SUMPRODUCT(--(_xlpm.tokens=$J17)), 0)
)</f>
        <v>0</v>
      </c>
      <c r="O17" s="33" cm="1">
        <f t="array" ref="O17">_xlfn.LET(
  _xlpm.raw, _xlfn.TEXTSPLIT(_xlfn.TEXTJOIN(",",TRUE, B$32:F$32, B$67:F$67, B$102:F$102, B$137:F$137, B$172:F$172), ","),
  _xlpm.tokens, _xlfn._xlws.FILTER(TRIM(_xlpm.raw), TRIM(_xlpm.raw)&lt;&gt;""),
  IFERROR(SUMPRODUCT(--(_xlpm.tokens=$J17)), 0)
)</f>
        <v>0</v>
      </c>
      <c r="P17" s="33" cm="1">
        <f t="array" ref="P17">_xlfn.LET(
  _xlpm.raw, _xlfn.TEXTSPLIT(_xlfn.TEXTJOIN(",",TRUE, B$33:F$33, B$68:F$68, B$103:F$103, B$138:F$138, B$173:F$173,), ","),
  _xlpm.tokens, _xlfn._xlws.FILTER(TRIM(_xlpm.raw), TRIM(_xlpm.raw)&lt;&gt;""),
  IFERROR(SUMPRODUCT(--(_xlpm.tokens=$J17)), 0)
)</f>
        <v>0</v>
      </c>
      <c r="Q17" s="33" cm="1">
        <f t="array" ref="Q17">_xlfn.LET(
  _xlpm.raw, _xlfn.TEXTSPLIT(_xlfn.TEXTJOIN(",",TRUE, B$7:H$8, B$42:H$43, B$77:H$78, B$112:H$113, B$147:H$148), ","),
  _xlpm.tokens, _xlfn._xlws.FILTER(TRIM(_xlpm.raw), TRIM(_xlpm.raw)&lt;&gt;""),
  IFERROR(SUMPRODUCT(--(_xlpm.tokens=$J17)), 0)
)</f>
        <v>0</v>
      </c>
      <c r="R17" s="33"/>
      <c r="S17" s="33" cm="1">
        <f t="array" ref="S17">_xlfn.LET(
  _xlpm.raw, _xlfn.TEXTSPLIT(_xlfn.TEXTJOIN(",",TRUE, B$34:F$34, B$69:F$69, B$104:F$104, B$139:F$139, B$174:F$174,), ","),
  _xlpm.tokens, _xlfn._xlws.FILTER(TRIM(_xlpm.raw), TRIM(_xlpm.raw)&lt;&gt;""),
  IFERROR(SUMPRODUCT(--(_xlpm.tokens=$J17)), 0)
)</f>
        <v>23</v>
      </c>
    </row>
    <row r="18" spans="1:19" x14ac:dyDescent="0.3">
      <c r="A18" s="29" t="s">
        <v>29</v>
      </c>
      <c r="B18" s="35"/>
      <c r="C18" s="35"/>
      <c r="D18" s="35"/>
      <c r="E18" s="35"/>
      <c r="F18" s="35"/>
      <c r="G18" s="39"/>
      <c r="H18" s="39"/>
      <c r="I18" s="28"/>
      <c r="J18" s="33" t="s">
        <v>50</v>
      </c>
      <c r="K18" s="33" cm="1">
        <f t="array" ref="K18">_xlfn.LET(
  _xlpm.raw, _xlfn.TEXTSPLIT(_xlfn.TEXTJOIN(",",TRUE, B$11:F$11, B$46:F$46, B$81:F$81, B$116:F$116, B$151:F$151), ","),
  _xlpm.tokens, _xlfn._xlws.FILTER(TRIM(_xlpm.raw), TRIM(_xlpm.raw)&lt;&gt;""),
  IFERROR(SUMPRODUCT(--(_xlpm.tokens=$J18)), 0)
)</f>
        <v>0</v>
      </c>
      <c r="L18" s="33" cm="1">
        <f t="array" ref="L18">_xlfn.LET(
  _xlpm.name, $J18,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8" s="33" cm="1">
        <f t="array" ref="M18">_xlfn.LET(
  _xlpm.raw, _xlfn.TEXTSPLIT(_xlfn.TEXTJOIN(",",TRUE, B$12:F$12, B$47:F$47, B$82:F$82, B$117:F$117, B$152:F$152), ","),
  _xlpm.tokens, _xlfn._xlws.FILTER(TRIM(_xlpm.raw), TRIM(_xlpm.raw)&lt;&gt;""),
  IFERROR(SUMPRODUCT(--(_xlpm.tokens=$J18)), 0)
)</f>
        <v>0</v>
      </c>
      <c r="N18" s="33" cm="1">
        <f t="array" ref="N18">_xlfn.LET(
  _xlpm.raw, _xlfn.TEXTSPLIT(_xlfn.TEXTJOIN(",",TRUE, B$28:F$28, B$63:F$63, B$98:F$98, B$133:F$133, B$168:F$168), ","),
  _xlpm.tokens, _xlfn._xlws.FILTER(TRIM(_xlpm.raw), TRIM(_xlpm.raw)&lt;&gt;""),
  IFERROR(SUMPRODUCT(--(_xlpm.tokens=$J18)), 0)
)</f>
        <v>0</v>
      </c>
      <c r="O18" s="33" cm="1">
        <f t="array" ref="O18">_xlfn.LET(
  _xlpm.raw, _xlfn.TEXTSPLIT(_xlfn.TEXTJOIN(",",TRUE, B$32:F$32, B$67:F$67, B$102:F$102, B$137:F$137, B$172:F$172), ","),
  _xlpm.tokens, _xlfn._xlws.FILTER(TRIM(_xlpm.raw), TRIM(_xlpm.raw)&lt;&gt;""),
  IFERROR(SUMPRODUCT(--(_xlpm.tokens=$J18)), 0)
)</f>
        <v>0</v>
      </c>
      <c r="P18" s="33" cm="1">
        <f t="array" ref="P18">_xlfn.LET(
  _xlpm.raw, _xlfn.TEXTSPLIT(_xlfn.TEXTJOIN(",",TRUE, B$33:F$33, B$68:F$68, B$103:F$103, B$138:F$138, B$173:F$173,), ","),
  _xlpm.tokens, _xlfn._xlws.FILTER(TRIM(_xlpm.raw), TRIM(_xlpm.raw)&lt;&gt;""),
  IFERROR(SUMPRODUCT(--(_xlpm.tokens=$J18)), 0)
)</f>
        <v>0</v>
      </c>
      <c r="Q18" s="33" cm="1">
        <f t="array" ref="Q18">_xlfn.LET(
  _xlpm.raw, _xlfn.TEXTSPLIT(_xlfn.TEXTJOIN(",",TRUE, B$7:H$8, B$42:H$43, B$77:H$78, B$112:H$113, B$147:H$148), ","),
  _xlpm.tokens, _xlfn._xlws.FILTER(TRIM(_xlpm.raw), TRIM(_xlpm.raw)&lt;&gt;""),
  IFERROR(SUMPRODUCT(--(_xlpm.tokens=$J18)), 0)
)</f>
        <v>0</v>
      </c>
      <c r="R18" s="33"/>
      <c r="S18" s="33" cm="1">
        <f t="array" ref="S18">_xlfn.LET(
  _xlpm.raw, _xlfn.TEXTSPLIT(_xlfn.TEXTJOIN(",",TRUE, B$34:F$34, B$69:F$69, B$104:F$104, B$139:F$139, B$174:F$174,), ","),
  _xlpm.tokens, _xlfn._xlws.FILTER(TRIM(_xlpm.raw), TRIM(_xlpm.raw)&lt;&gt;""),
  IFERROR(SUMPRODUCT(--(_xlpm.tokens=$J18)), 0)
)</f>
        <v>23</v>
      </c>
    </row>
    <row r="19" spans="1:19" x14ac:dyDescent="0.3">
      <c r="A19" s="29" t="s">
        <v>30</v>
      </c>
      <c r="B19" s="35"/>
      <c r="C19" s="35"/>
      <c r="D19" s="35"/>
      <c r="E19" s="35"/>
      <c r="F19" s="35"/>
      <c r="G19" s="39"/>
      <c r="H19" s="39"/>
      <c r="I19" s="28"/>
      <c r="J19" s="33" t="s">
        <v>9</v>
      </c>
      <c r="K19" s="33" cm="1">
        <f t="array" ref="K19">_xlfn.LET(
  _xlpm.raw, _xlfn.TEXTSPLIT(_xlfn.TEXTJOIN(",",TRUE, B$11:F$11, B$46:F$46, B$81:F$81, B$116:F$116, B$151:F$151), ","),
  _xlpm.tokens, _xlfn._xlws.FILTER(TRIM(_xlpm.raw), TRIM(_xlpm.raw)&lt;&gt;""),
  IFERROR(SUMPRODUCT(--(_xlpm.tokens=$J19)), 0)
)</f>
        <v>0</v>
      </c>
      <c r="L19" s="33" cm="1">
        <f t="array" ref="L19">_xlfn.LET(
  _xlpm.name, $J19,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9" s="33" cm="1">
        <f t="array" ref="M19">_xlfn.LET(
  _xlpm.raw, _xlfn.TEXTSPLIT(_xlfn.TEXTJOIN(",",TRUE, B$12:F$12, B$47:F$47, B$82:F$82, B$117:F$117, B$152:F$152), ","),
  _xlpm.tokens, _xlfn._xlws.FILTER(TRIM(_xlpm.raw), TRIM(_xlpm.raw)&lt;&gt;""),
  IFERROR(SUMPRODUCT(--(_xlpm.tokens=$J19)), 0)
)</f>
        <v>0</v>
      </c>
      <c r="N19" s="33" cm="1">
        <f t="array" ref="N19">_xlfn.LET(
  _xlpm.raw, _xlfn.TEXTSPLIT(_xlfn.TEXTJOIN(",",TRUE, B$28:F$28, B$63:F$63, B$98:F$98, B$133:F$133, B$168:F$168), ","),
  _xlpm.tokens, _xlfn._xlws.FILTER(TRIM(_xlpm.raw), TRIM(_xlpm.raw)&lt;&gt;""),
  IFERROR(SUMPRODUCT(--(_xlpm.tokens=$J19)), 0)
)</f>
        <v>0</v>
      </c>
      <c r="O19" s="33" cm="1">
        <f t="array" ref="O19">_xlfn.LET(
  _xlpm.raw, _xlfn.TEXTSPLIT(_xlfn.TEXTJOIN(",",TRUE, B$32:F$32, B$67:F$67, B$102:F$102, B$137:F$137, B$172:F$172), ","),
  _xlpm.tokens, _xlfn._xlws.FILTER(TRIM(_xlpm.raw), TRIM(_xlpm.raw)&lt;&gt;""),
  IFERROR(SUMPRODUCT(--(_xlpm.tokens=$J19)), 0)
)</f>
        <v>0</v>
      </c>
      <c r="P19" s="33" cm="1">
        <f t="array" ref="P19">_xlfn.LET(
  _xlpm.raw, _xlfn.TEXTSPLIT(_xlfn.TEXTJOIN(",",TRUE, B$33:F$33, B$68:F$68, B$103:F$103, B$138:F$138, B$173:F$173,), ","),
  _xlpm.tokens, _xlfn._xlws.FILTER(TRIM(_xlpm.raw), TRIM(_xlpm.raw)&lt;&gt;""),
  IFERROR(SUMPRODUCT(--(_xlpm.tokens=$J19)), 0)
)</f>
        <v>0</v>
      </c>
      <c r="Q19" s="33" cm="1">
        <f t="array" ref="Q19">_xlfn.LET(
  _xlpm.raw, _xlfn.TEXTSPLIT(_xlfn.TEXTJOIN(",",TRUE, B$7:H$8, B$42:H$43, B$77:H$78, B$112:H$113, B$147:H$148), ","),
  _xlpm.tokens, _xlfn._xlws.FILTER(TRIM(_xlpm.raw), TRIM(_xlpm.raw)&lt;&gt;""),
  IFERROR(SUMPRODUCT(--(_xlpm.tokens=$J19)), 0)
)</f>
        <v>0</v>
      </c>
      <c r="R19" s="33"/>
      <c r="S19" s="33" cm="1">
        <f t="array" ref="S19">_xlfn.LET(
  _xlpm.raw, _xlfn.TEXTSPLIT(_xlfn.TEXTJOIN(",",TRUE, B$34:F$34, B$69:F$69, B$104:F$104, B$139:F$139, B$174:F$174,), ","),
  _xlpm.tokens, _xlfn._xlws.FILTER(TRIM(_xlpm.raw), TRIM(_xlpm.raw)&lt;&gt;""),
  IFERROR(SUMPRODUCT(--(_xlpm.tokens=$J19)), 0)
)</f>
        <v>0</v>
      </c>
    </row>
    <row r="20" spans="1:19" x14ac:dyDescent="0.3">
      <c r="A20" s="29" t="s">
        <v>31</v>
      </c>
      <c r="B20" s="35"/>
      <c r="C20" s="35"/>
      <c r="D20" s="35"/>
      <c r="E20" s="35"/>
      <c r="F20" s="35"/>
      <c r="G20" s="39"/>
      <c r="H20" s="39"/>
      <c r="I20" s="28"/>
      <c r="J20" s="33" t="s">
        <v>15</v>
      </c>
      <c r="K20" s="33" cm="1">
        <f t="array" ref="K20">_xlfn.LET(
  _xlpm.raw, _xlfn.TEXTSPLIT(_xlfn.TEXTJOIN(",",TRUE, B$11:F$11, B$46:F$46, B$81:F$81, B$116:F$116, B$151:F$151), ","),
  _xlpm.tokens, _xlfn._xlws.FILTER(TRIM(_xlpm.raw), TRIM(_xlpm.raw)&lt;&gt;""),
  IFERROR(SUMPRODUCT(--(_xlpm.tokens=$J20)), 0)
)</f>
        <v>0</v>
      </c>
      <c r="L20" s="33" cm="1">
        <f t="array" ref="L20">_xlfn.LET(
  _xlpm.name, $J20,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0" s="33" cm="1">
        <f t="array" ref="M20">_xlfn.LET(
  _xlpm.raw, _xlfn.TEXTSPLIT(_xlfn.TEXTJOIN(",",TRUE, B$12:F$12, B$47:F$47, B$82:F$82, B$117:F$117, B$152:F$152), ","),
  _xlpm.tokens, _xlfn._xlws.FILTER(TRIM(_xlpm.raw), TRIM(_xlpm.raw)&lt;&gt;""),
  IFERROR(SUMPRODUCT(--(_xlpm.tokens=$J20)), 0)
)</f>
        <v>0</v>
      </c>
      <c r="N20" s="33" cm="1">
        <f t="array" ref="N20">_xlfn.LET(
  _xlpm.raw, _xlfn.TEXTSPLIT(_xlfn.TEXTJOIN(",",TRUE, B$28:F$28, B$63:F$63, B$98:F$98, B$133:F$133, B$168:F$168), ","),
  _xlpm.tokens, _xlfn._xlws.FILTER(TRIM(_xlpm.raw), TRIM(_xlpm.raw)&lt;&gt;""),
  IFERROR(SUMPRODUCT(--(_xlpm.tokens=$J20)), 0)
)</f>
        <v>0</v>
      </c>
      <c r="O20" s="33" cm="1">
        <f t="array" ref="O20">_xlfn.LET(
  _xlpm.raw, _xlfn.TEXTSPLIT(_xlfn.TEXTJOIN(",",TRUE, B$32:F$32, B$67:F$67, B$102:F$102, B$137:F$137, B$172:F$172), ","),
  _xlpm.tokens, _xlfn._xlws.FILTER(TRIM(_xlpm.raw), TRIM(_xlpm.raw)&lt;&gt;""),
  IFERROR(SUMPRODUCT(--(_xlpm.tokens=$J20)), 0)
)</f>
        <v>0</v>
      </c>
      <c r="P20" s="33" cm="1">
        <f t="array" ref="P20">_xlfn.LET(
  _xlpm.raw, _xlfn.TEXTSPLIT(_xlfn.TEXTJOIN(",",TRUE, B$33:F$33, B$68:F$68, B$103:F$103, B$138:F$138, B$173:F$173,), ","),
  _xlpm.tokens, _xlfn._xlws.FILTER(TRIM(_xlpm.raw), TRIM(_xlpm.raw)&lt;&gt;""),
  IFERROR(SUMPRODUCT(--(_xlpm.tokens=$J20)), 0)
)</f>
        <v>0</v>
      </c>
      <c r="Q20" s="33" cm="1">
        <f t="array" ref="Q20">_xlfn.LET(
  _xlpm.raw, _xlfn.TEXTSPLIT(_xlfn.TEXTJOIN(",",TRUE, B$7:H$8, B$42:H$43, B$77:H$78, B$112:H$113, B$147:H$148), ","),
  _xlpm.tokens, _xlfn._xlws.FILTER(TRIM(_xlpm.raw), TRIM(_xlpm.raw)&lt;&gt;""),
  IFERROR(SUMPRODUCT(--(_xlpm.tokens=$J20)), 0)
)</f>
        <v>0</v>
      </c>
      <c r="R20" s="33"/>
      <c r="S20" s="33" cm="1">
        <f t="array" ref="S20">_xlfn.LET(
  _xlpm.raw, _xlfn.TEXTSPLIT(_xlfn.TEXTJOIN(",",TRUE, B$34:F$34, B$69:F$69, B$104:F$104, B$139:F$139, B$174:F$174,), ","),
  _xlpm.tokens, _xlfn._xlws.FILTER(TRIM(_xlpm.raw), TRIM(_xlpm.raw)&lt;&gt;""),
  IFERROR(SUMPRODUCT(--(_xlpm.tokens=$J20)), 0)
)</f>
        <v>0</v>
      </c>
    </row>
    <row r="21" spans="1:19" x14ac:dyDescent="0.3">
      <c r="A21" s="29" t="s">
        <v>33</v>
      </c>
      <c r="B21" s="35"/>
      <c r="C21" s="35"/>
      <c r="D21" s="35"/>
      <c r="E21" s="35"/>
      <c r="F21" s="35"/>
      <c r="G21" s="39"/>
      <c r="H21" s="39"/>
      <c r="I21" s="28"/>
      <c r="J21" s="33" t="s">
        <v>10</v>
      </c>
      <c r="K21" s="33" cm="1">
        <f t="array" ref="K21">_xlfn.LET(
  _xlpm.raw, _xlfn.TEXTSPLIT(_xlfn.TEXTJOIN(",",TRUE, B$11:F$11, B$46:F$46, B$81:F$81, B$116:F$116, B$151:F$151), ","),
  _xlpm.tokens, _xlfn._xlws.FILTER(TRIM(_xlpm.raw), TRIM(_xlpm.raw)&lt;&gt;""),
  IFERROR(SUMPRODUCT(--(_xlpm.tokens=$J21)), 0)
)</f>
        <v>0</v>
      </c>
      <c r="L21" s="33" cm="1">
        <f t="array" ref="L21">_xlfn.LET(
  _xlpm.name, $J21,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1" s="33" cm="1">
        <f t="array" ref="M21">_xlfn.LET(
  _xlpm.raw, _xlfn.TEXTSPLIT(_xlfn.TEXTJOIN(",",TRUE, B$12:F$12, B$47:F$47, B$82:F$82, B$117:F$117, B$152:F$152), ","),
  _xlpm.tokens, _xlfn._xlws.FILTER(TRIM(_xlpm.raw), TRIM(_xlpm.raw)&lt;&gt;""),
  IFERROR(SUMPRODUCT(--(_xlpm.tokens=$J21)), 0)
)</f>
        <v>0</v>
      </c>
      <c r="N21" s="33" cm="1">
        <f t="array" ref="N21">_xlfn.LET(
  _xlpm.raw, _xlfn.TEXTSPLIT(_xlfn.TEXTJOIN(",",TRUE, B$28:F$28, B$63:F$63, B$98:F$98, B$133:F$133, B$168:F$168), ","),
  _xlpm.tokens, _xlfn._xlws.FILTER(TRIM(_xlpm.raw), TRIM(_xlpm.raw)&lt;&gt;""),
  IFERROR(SUMPRODUCT(--(_xlpm.tokens=$J21)), 0)
)</f>
        <v>0</v>
      </c>
      <c r="O21" s="33" cm="1">
        <f t="array" ref="O21">_xlfn.LET(
  _xlpm.raw, _xlfn.TEXTSPLIT(_xlfn.TEXTJOIN(",",TRUE, B$32:F$32, B$67:F$67, B$102:F$102, B$137:F$137, B$172:F$172), ","),
  _xlpm.tokens, _xlfn._xlws.FILTER(TRIM(_xlpm.raw), TRIM(_xlpm.raw)&lt;&gt;""),
  IFERROR(SUMPRODUCT(--(_xlpm.tokens=$J21)), 0)
)</f>
        <v>0</v>
      </c>
      <c r="P21" s="33" cm="1">
        <f t="array" ref="P21">_xlfn.LET(
  _xlpm.raw, _xlfn.TEXTSPLIT(_xlfn.TEXTJOIN(",",TRUE, B$33:F$33, B$68:F$68, B$103:F$103, B$138:F$138, B$173:F$173,), ","),
  _xlpm.tokens, _xlfn._xlws.FILTER(TRIM(_xlpm.raw), TRIM(_xlpm.raw)&lt;&gt;""),
  IFERROR(SUMPRODUCT(--(_xlpm.tokens=$J21)), 0)
)</f>
        <v>0</v>
      </c>
      <c r="Q21" s="33" cm="1">
        <f t="array" ref="Q21">_xlfn.LET(
  _xlpm.raw, _xlfn.TEXTSPLIT(_xlfn.TEXTJOIN(",",TRUE, B$7:H$8, B$42:H$43, B$77:H$78, B$112:H$113, B$147:H$148), ","),
  _xlpm.tokens, _xlfn._xlws.FILTER(TRIM(_xlpm.raw), TRIM(_xlpm.raw)&lt;&gt;""),
  IFERROR(SUMPRODUCT(--(_xlpm.tokens=$J21)), 0)
)</f>
        <v>0</v>
      </c>
      <c r="R21" s="33"/>
      <c r="S21" s="33" cm="1">
        <f t="array" ref="S21">_xlfn.LET(
  _xlpm.raw, _xlfn.TEXTSPLIT(_xlfn.TEXTJOIN(",",TRUE, B$34:F$34, B$69:F$69, B$104:F$104, B$139:F$139, B$174:F$174,), ","),
  _xlpm.tokens, _xlfn._xlws.FILTER(TRIM(_xlpm.raw), TRIM(_xlpm.raw)&lt;&gt;""),
  IFERROR(SUMPRODUCT(--(_xlpm.tokens=$J21)), 0)
)</f>
        <v>23</v>
      </c>
    </row>
    <row r="22" spans="1:19" x14ac:dyDescent="0.3">
      <c r="A22" s="29" t="s">
        <v>35</v>
      </c>
      <c r="B22" s="35"/>
      <c r="C22" s="35"/>
      <c r="D22" s="35"/>
      <c r="E22" s="35"/>
      <c r="F22" s="35"/>
      <c r="G22" s="39"/>
      <c r="H22" s="39"/>
      <c r="I22" s="28"/>
      <c r="J22" s="33" t="s">
        <v>16</v>
      </c>
      <c r="K22" s="33" cm="1">
        <f t="array" ref="K22">_xlfn.LET(
  _xlpm.raw, _xlfn.TEXTSPLIT(_xlfn.TEXTJOIN(",",TRUE, B$11:F$11, B$46:F$46, B$81:F$81, B$116:F$116, B$151:F$151), ","),
  _xlpm.tokens, _xlfn._xlws.FILTER(TRIM(_xlpm.raw), TRIM(_xlpm.raw)&lt;&gt;""),
  IFERROR(SUMPRODUCT(--(_xlpm.tokens=$J22)), 0)
)</f>
        <v>0</v>
      </c>
      <c r="L22" s="33" cm="1">
        <f t="array" ref="L22">_xlfn.LET(
  _xlpm.name, $J22,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2" s="33" cm="1">
        <f t="array" ref="M22">_xlfn.LET(
  _xlpm.raw, _xlfn.TEXTSPLIT(_xlfn.TEXTJOIN(",",TRUE, B$12:F$12, B$47:F$47, B$82:F$82, B$117:F$117, B$152:F$152), ","),
  _xlpm.tokens, _xlfn._xlws.FILTER(TRIM(_xlpm.raw), TRIM(_xlpm.raw)&lt;&gt;""),
  IFERROR(SUMPRODUCT(--(_xlpm.tokens=$J22)), 0)
)</f>
        <v>0</v>
      </c>
      <c r="N22" s="33" cm="1">
        <f t="array" ref="N22">_xlfn.LET(
  _xlpm.raw, _xlfn.TEXTSPLIT(_xlfn.TEXTJOIN(",",TRUE, B$28:F$28, B$63:F$63, B$98:F$98, B$133:F$133, B$168:F$168), ","),
  _xlpm.tokens, _xlfn._xlws.FILTER(TRIM(_xlpm.raw), TRIM(_xlpm.raw)&lt;&gt;""),
  IFERROR(SUMPRODUCT(--(_xlpm.tokens=$J22)), 0)
)</f>
        <v>0</v>
      </c>
      <c r="O22" s="33" cm="1">
        <f t="array" ref="O22">_xlfn.LET(
  _xlpm.raw, _xlfn.TEXTSPLIT(_xlfn.TEXTJOIN(",",TRUE, B$32:F$32, B$67:F$67, B$102:F$102, B$137:F$137, B$172:F$172), ","),
  _xlpm.tokens, _xlfn._xlws.FILTER(TRIM(_xlpm.raw), TRIM(_xlpm.raw)&lt;&gt;""),
  IFERROR(SUMPRODUCT(--(_xlpm.tokens=$J22)), 0)
)</f>
        <v>0</v>
      </c>
      <c r="P22" s="33" cm="1">
        <f t="array" ref="P22">_xlfn.LET(
  _xlpm.raw, _xlfn.TEXTSPLIT(_xlfn.TEXTJOIN(",",TRUE, B$33:F$33, B$68:F$68, B$103:F$103, B$138:F$138, B$173:F$173,), ","),
  _xlpm.tokens, _xlfn._xlws.FILTER(TRIM(_xlpm.raw), TRIM(_xlpm.raw)&lt;&gt;""),
  IFERROR(SUMPRODUCT(--(_xlpm.tokens=$J22)), 0)
)</f>
        <v>0</v>
      </c>
      <c r="Q22" s="33" cm="1">
        <f t="array" ref="Q22">_xlfn.LET(
  _xlpm.raw, _xlfn.TEXTSPLIT(_xlfn.TEXTJOIN(",",TRUE, B$7:H$8, B$42:H$43, B$77:H$78, B$112:H$113, B$147:H$148), ","),
  _xlpm.tokens, _xlfn._xlws.FILTER(TRIM(_xlpm.raw), TRIM(_xlpm.raw)&lt;&gt;""),
  IFERROR(SUMPRODUCT(--(_xlpm.tokens=$J22)), 0)
)</f>
        <v>0</v>
      </c>
      <c r="R22" s="33"/>
      <c r="S22" s="33" cm="1">
        <f t="array" ref="S22">_xlfn.LET(
  _xlpm.raw, _xlfn.TEXTSPLIT(_xlfn.TEXTJOIN(",",TRUE, B$34:F$34, B$69:F$69, B$104:F$104, B$139:F$139, B$174:F$174,), ","),
  _xlpm.tokens, _xlfn._xlws.FILTER(TRIM(_xlpm.raw), TRIM(_xlpm.raw)&lt;&gt;""),
  IFERROR(SUMPRODUCT(--(_xlpm.tokens=$J22)), 0)
)</f>
        <v>23</v>
      </c>
    </row>
    <row r="23" spans="1:19" x14ac:dyDescent="0.3">
      <c r="A23" s="29" t="s">
        <v>37</v>
      </c>
      <c r="B23" s="35"/>
      <c r="C23" s="35"/>
      <c r="D23" s="35"/>
      <c r="E23" s="35"/>
      <c r="F23" s="35"/>
      <c r="G23" s="39"/>
      <c r="H23" s="39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</row>
    <row r="24" spans="1:19" x14ac:dyDescent="0.3">
      <c r="A24" s="29" t="s">
        <v>38</v>
      </c>
      <c r="B24" s="35"/>
      <c r="C24" s="35"/>
      <c r="D24" s="35"/>
      <c r="E24" s="35"/>
      <c r="F24" s="35"/>
      <c r="G24" s="39"/>
      <c r="H24" s="3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</row>
    <row r="25" spans="1:19" x14ac:dyDescent="0.3">
      <c r="A25" s="29" t="s">
        <v>39</v>
      </c>
      <c r="B25" s="35"/>
      <c r="C25" s="35"/>
      <c r="D25" s="35"/>
      <c r="E25" s="35"/>
      <c r="F25" s="35"/>
      <c r="G25" s="39"/>
      <c r="H25" s="39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19" x14ac:dyDescent="0.3">
      <c r="A26" s="29" t="s">
        <v>40</v>
      </c>
      <c r="B26" s="35"/>
      <c r="C26" s="35"/>
      <c r="D26" s="35"/>
      <c r="E26" s="35"/>
      <c r="F26" s="35"/>
      <c r="G26" s="39"/>
      <c r="H26" s="3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19" x14ac:dyDescent="0.3">
      <c r="A27" s="29" t="s">
        <v>41</v>
      </c>
      <c r="B27" s="35"/>
      <c r="C27" s="35"/>
      <c r="D27" s="35"/>
      <c r="E27" s="35"/>
      <c r="F27" s="35"/>
      <c r="G27" s="39"/>
      <c r="H27" s="39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 x14ac:dyDescent="0.3">
      <c r="A28" s="29" t="s">
        <v>43</v>
      </c>
      <c r="B28" s="35"/>
      <c r="C28" s="35"/>
      <c r="D28" s="35"/>
      <c r="E28" s="35"/>
      <c r="F28" s="35"/>
      <c r="G28" s="39"/>
      <c r="H28" s="3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19" x14ac:dyDescent="0.3">
      <c r="A29" s="29" t="s">
        <v>44</v>
      </c>
      <c r="B29" s="35"/>
      <c r="C29" s="35"/>
      <c r="D29" s="35"/>
      <c r="E29" s="35"/>
      <c r="F29" s="35"/>
      <c r="G29" s="39"/>
      <c r="H29" s="39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19" x14ac:dyDescent="0.3">
      <c r="A30" s="29" t="s">
        <v>45</v>
      </c>
      <c r="B30" s="35"/>
      <c r="C30" s="41" t="str">
        <f>IF(AND(OR('2026-03'!B$7="-",'2026-03'!B$7=""),OR('2026-03'!B$8="-",'2026-03'!B$8="")),"-",IF(OR('2026-03'!B$7="-",'2026-03'!B$7=""),"",'2026-03'!B$7)&amp;IF(AND(NOT(OR('2026-03'!B$7="-",'2026-03'!B$7="")),NOT(OR('2026-03'!B$8="-",'2026-03'!B$8=""))),", ","")&amp;IF(OR('2026-03'!B$8="-",'2026-03'!B$8=""),"",'2026-03'!B$8))</f>
        <v>0, 0</v>
      </c>
      <c r="D30" s="41" t="str">
        <f>IF(AND(OR('2026-03'!C$7="-",'2026-03'!C$7=""),OR('2026-03'!C$8="-",'2026-03'!C$8="")),"-",IF(OR('2026-03'!C$7="-",'2026-03'!C$7=""),"",'2026-03'!C$7)&amp;IF(AND(NOT(OR('2026-03'!C$7="-",'2026-03'!C$7="")),NOT(OR('2026-03'!C$8="-",'2026-03'!C$8=""))),", ","")&amp;IF(OR('2026-03'!C$8="-",'2026-03'!C$8=""),"",'2026-03'!C$8))</f>
        <v>0, 0</v>
      </c>
      <c r="E30" s="41" t="str">
        <f>IF(AND(OR('2026-03'!D$7="-",'2026-03'!D$7=""),OR('2026-03'!D$8="-",'2026-03'!D$8="")),"-",IF(OR('2026-03'!D$7="-",'2026-03'!D$7=""),"",'2026-03'!D$7)&amp;IF(AND(NOT(OR('2026-03'!D$7="-",'2026-03'!D$7="")),NOT(OR('2026-03'!D$8="-",'2026-03'!D$8=""))),", ","")&amp;IF(OR('2026-03'!D$8="-",'2026-03'!D$8=""),"",'2026-03'!D$8))</f>
        <v>0, 0</v>
      </c>
      <c r="F30" s="41" t="str">
        <f>IF(AND(OR('2026-03'!E$7="-",'2026-03'!E$7=""),OR('2026-03'!E$8="-",'2026-03'!E$8="")),"-",IF(OR('2026-03'!E$7="-",'2026-03'!E$7=""),"",'2026-03'!E$7)&amp;IF(AND(NOT(OR('2026-03'!E$7="-",'2026-03'!E$7="")),NOT(OR('2026-03'!E$8="-",'2026-03'!E$8=""))),", ","")&amp;IF(OR('2026-03'!E$8="-",'2026-03'!E$8=""),"",'2026-03'!E$8))</f>
        <v>0, 0</v>
      </c>
      <c r="G30" s="42" t="str">
        <f>IF(AND(OR('2026-03'!F$7="-",'2026-03'!F$7=""),OR('2026-03'!F$8="-",'2026-03'!F$8="")),"-",IF(OR('2026-03'!F$7="-",'2026-03'!F$7=""),"",'2026-03'!F$7)&amp;IF(AND(NOT(OR('2026-03'!F$7="-",'2026-03'!F$7="")),NOT(OR('2026-03'!F$8="-",'2026-03'!F$8=""))),", ","")&amp;IF(OR('2026-03'!F$8="-",'2026-03'!F$8=""),"",'2026-03'!F$8))</f>
        <v>0, 0</v>
      </c>
      <c r="H30" s="42" t="str">
        <f>IF(AND(OR('2026-03'!G$7="-",'2026-03'!G$7=""),OR('2026-03'!G$8="-",'2026-03'!G$8="")),"-",IF(OR('2026-03'!G$7="-",'2026-03'!G$7=""),"",'2026-03'!G$7)&amp;IF(AND(NOT(OR('2026-03'!G$7="-",'2026-03'!G$7="")),NOT(OR('2026-03'!G$8="-",'2026-03'!G$8=""))),", ","")&amp;IF(OR('2026-03'!G$8="-",'2026-03'!G$8=""),"",'2026-03'!G$8))</f>
        <v>0, 0</v>
      </c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19" x14ac:dyDescent="0.3">
      <c r="A31" s="29" t="s">
        <v>46</v>
      </c>
      <c r="B31" s="35"/>
      <c r="C31" s="35"/>
      <c r="D31" s="35"/>
      <c r="E31" s="35"/>
      <c r="F31" s="35"/>
      <c r="G31" s="39"/>
      <c r="H31" s="39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19" x14ac:dyDescent="0.3">
      <c r="A32" s="29" t="s">
        <v>47</v>
      </c>
      <c r="B32" s="35"/>
      <c r="C32" s="35"/>
      <c r="D32" s="35"/>
      <c r="E32" s="35"/>
      <c r="F32" s="35"/>
      <c r="G32" s="39"/>
      <c r="H32" s="3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1:19" x14ac:dyDescent="0.3">
      <c r="A33" s="29" t="s">
        <v>48</v>
      </c>
      <c r="B33" s="36"/>
      <c r="C33" s="36"/>
      <c r="D33" s="36"/>
      <c r="E33" s="36"/>
      <c r="F33" s="36"/>
      <c r="G33" s="39"/>
      <c r="H33" s="39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1:19" ht="115.2" x14ac:dyDescent="0.3">
      <c r="A34" s="29" t="s">
        <v>49</v>
      </c>
      <c r="B34" s="35" t="str" cm="1">
        <f t="array" ref="B34">_xlfn.LET(
  _xlpm.all, עובדים!$A$1:$A$28,
  _xlpm.listed, IFERROR(TRIM(_xlfn.TEXTSPLIT(_xlfn.TEXTJOIN(",",TRUE, B3:B5, B11:B33),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34" s="35" t="str" cm="1">
        <f t="array" ref="C34">_xlfn.LET(
  _xlpm.all, עובדים!$A$1:$A$28,
  _xlpm.listed, IFERROR(TRIM(_xlfn.TEXTSPLIT(_xlfn.TEXTJOIN(",",TRUE, C3:C5, C11:C33),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34" s="35" t="str" cm="1">
        <f t="array" ref="D34">_xlfn.LET(
  _xlpm.all, עובדים!$A$1:$A$28,
  _xlpm.listed, IFERROR(TRIM(_xlfn.TEXTSPLIT(_xlfn.TEXTJOIN(",",TRUE, D3:D5, D11:D33),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34" s="35" t="str" cm="1">
        <f t="array" ref="E34">_xlfn.LET(
  _xlpm.all, עובדים!$A$1:$A$28,
  _xlpm.listed, IFERROR(TRIM(_xlfn.TEXTSPLIT(_xlfn.TEXTJOIN(",",TRUE, E3:E5, E11:E33),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34" s="35" t="str" cm="1">
        <f t="array" ref="F34">_xlfn.LET(
  _xlpm.all, עובדים!$A$1:$A$28,
  _xlpm.listed, IFERROR(TRIM(_xlfn.TEXTSPLIT(_xlfn.TEXTJOIN(",",TRUE, F3:F5, F11:F33),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34" s="39" t="str" cm="1">
        <f t="array" ref="G34">_xlfn.LET(
  _xlpm.all, עובדים!$A$1:$A$28,
  _xlpm.listed, IFERROR(TRIM(_xlfn.TEXTSPLIT(_xlfn.TEXTJOIN(",",TRUE, G3:G5, G11:G33),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34" s="39" t="str" cm="1">
        <f t="array" ref="H34">_xlfn.LET(
  _xlpm.all, עובדים!$A$1:$A$28,
  _xlpm.listed, IFERROR(TRIM(_xlfn.TEXTSPLIT(_xlfn.TEXTJOIN(",",TRUE, H3:H5, H11:H33),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1:19" x14ac:dyDescent="0.3">
      <c r="B35" s="49"/>
      <c r="C35" s="49"/>
      <c r="D35" s="49"/>
      <c r="E35" s="49"/>
      <c r="F35" s="49"/>
      <c r="G35" s="49"/>
      <c r="H35" s="49"/>
    </row>
    <row r="36" spans="1:19" x14ac:dyDescent="0.3">
      <c r="A36" s="27"/>
      <c r="B36" s="45"/>
      <c r="C36" s="45"/>
      <c r="D36" s="45"/>
      <c r="E36" s="45"/>
      <c r="F36" s="45"/>
      <c r="G36" s="46"/>
      <c r="H36" s="46"/>
    </row>
    <row r="37" spans="1:19" x14ac:dyDescent="0.3">
      <c r="A37" s="1" t="s">
        <v>0</v>
      </c>
      <c r="B37" s="47"/>
      <c r="C37" s="47"/>
      <c r="D37" s="47"/>
      <c r="E37" s="47"/>
      <c r="F37" s="47"/>
      <c r="G37" s="48"/>
      <c r="H37" s="48"/>
    </row>
    <row r="38" spans="1:19" x14ac:dyDescent="0.3">
      <c r="A38" s="29" t="s">
        <v>1</v>
      </c>
      <c r="B38" s="35"/>
      <c r="C38" s="35"/>
      <c r="D38" s="35"/>
      <c r="E38" s="35"/>
      <c r="F38" s="35"/>
      <c r="G38" s="40"/>
      <c r="H38" s="40"/>
    </row>
    <row r="39" spans="1:19" x14ac:dyDescent="0.3">
      <c r="A39" s="29" t="s">
        <v>7</v>
      </c>
      <c r="B39" s="35"/>
      <c r="C39" s="35"/>
      <c r="D39" s="35"/>
      <c r="E39" s="35"/>
      <c r="F39" s="35"/>
      <c r="G39" s="40"/>
      <c r="H39" s="40"/>
    </row>
    <row r="40" spans="1:19" x14ac:dyDescent="0.3">
      <c r="A40" s="29" t="s">
        <v>8</v>
      </c>
      <c r="B40" s="35"/>
      <c r="C40" s="35"/>
      <c r="D40" s="35"/>
      <c r="E40" s="35"/>
      <c r="F40" s="35"/>
      <c r="G40" s="39"/>
      <c r="H40" s="39"/>
    </row>
    <row r="41" spans="1:19" x14ac:dyDescent="0.3">
      <c r="A41" s="29" t="s">
        <v>78</v>
      </c>
      <c r="B41" s="35"/>
      <c r="C41" s="35"/>
      <c r="D41" s="35"/>
      <c r="E41" s="35"/>
      <c r="F41" s="35"/>
      <c r="G41" s="39"/>
      <c r="H41" s="39"/>
    </row>
    <row r="42" spans="1:19" x14ac:dyDescent="0.3">
      <c r="A42" s="29" t="s">
        <v>12</v>
      </c>
      <c r="B42" s="41">
        <f>IFERROR(_xlfn.XLOOKUP(B$37, תורנויות!$B:$B, תורנויות!$D:$D, ""), "")</f>
        <v>0</v>
      </c>
      <c r="C42" s="41">
        <f>IFERROR(_xlfn.XLOOKUP(C$37, תורנויות!$B:$B, תורנויות!$D:$D, ""), "")</f>
        <v>0</v>
      </c>
      <c r="D42" s="41">
        <f>IFERROR(_xlfn.XLOOKUP(D$37, תורנויות!$B:$B, תורנויות!$D:$D, ""), "")</f>
        <v>0</v>
      </c>
      <c r="E42" s="41">
        <f>IFERROR(_xlfn.XLOOKUP(E$37, תורנויות!$B:$B, תורנויות!$D:$D, ""), "")</f>
        <v>0</v>
      </c>
      <c r="F42" s="41">
        <f>IFERROR(_xlfn.XLOOKUP(F$37, תורנויות!$B:$B, תורנויות!$D:$D, ""), "")</f>
        <v>0</v>
      </c>
      <c r="G42" s="42">
        <f>IFERROR(_xlfn.XLOOKUP(G$37, תורנויות!$B:$B, תורנויות!$D:$D, ""), "")</f>
        <v>0</v>
      </c>
      <c r="H42" s="42">
        <f>IFERROR(_xlfn.XLOOKUP(H$37, תורנויות!$B:$B, תורנויות!$D:$D, ""), "")</f>
        <v>0</v>
      </c>
    </row>
    <row r="43" spans="1:19" x14ac:dyDescent="0.3">
      <c r="A43" s="29" t="s">
        <v>18</v>
      </c>
      <c r="B43" s="41">
        <f>IFERROR(_xlfn.XLOOKUP(B$37, תורנויות!$B:$B, תורנויות!$E:$E, ""), "")</f>
        <v>0</v>
      </c>
      <c r="C43" s="41">
        <f>IFERROR(_xlfn.XLOOKUP(C$37, תורנויות!$B:$B, תורנויות!$E:$E, ""), "")</f>
        <v>0</v>
      </c>
      <c r="D43" s="41">
        <f>IFERROR(_xlfn.XLOOKUP(D$37, תורנויות!$B:$B, תורנויות!$E:$E, ""), "")</f>
        <v>0</v>
      </c>
      <c r="E43" s="41">
        <f>IFERROR(_xlfn.XLOOKUP(E$37, תורנויות!$B:$B, תורנויות!$E:$E, ""), "")</f>
        <v>0</v>
      </c>
      <c r="F43" s="41">
        <f>IFERROR(_xlfn.XLOOKUP(F$37, תורנויות!$B:$B, תורנויות!$E:$E, ""), "")</f>
        <v>0</v>
      </c>
      <c r="G43" s="42">
        <f>IFERROR(_xlfn.XLOOKUP(G$37, תורנויות!$B:$B, תורנויות!$E:$E, ""), "")</f>
        <v>0</v>
      </c>
      <c r="H43" s="42">
        <f>IFERROR(_xlfn.XLOOKUP(H$37, תורנויות!$B:$B, תורנויות!$E:$E, ""), "")</f>
        <v>0</v>
      </c>
    </row>
    <row r="44" spans="1:19" x14ac:dyDescent="0.3">
      <c r="A44" s="29" t="s">
        <v>20</v>
      </c>
      <c r="B44" s="35">
        <f>IFERROR(_xlfn.XLOOKUP(B$37, תורנויות!$B:$B, תורנויות!$F:$F, ""), "")</f>
        <v>0</v>
      </c>
      <c r="C44" s="35">
        <f>IFERROR(_xlfn.XLOOKUP(C$37, תורנויות!$B:$B, תורנויות!$F:$F, ""), "")</f>
        <v>0</v>
      </c>
      <c r="D44" s="35">
        <f>IFERROR(_xlfn.XLOOKUP(D$37, תורנויות!$B:$B, תורנויות!$F:$F, ""), "")</f>
        <v>0</v>
      </c>
      <c r="E44" s="35">
        <f>IFERROR(_xlfn.XLOOKUP(E$37, תורנויות!$B:$B, תורנויות!$F:$F, ""), "")</f>
        <v>0</v>
      </c>
      <c r="F44" s="35">
        <f>IFERROR(_xlfn.XLOOKUP(F$37, תורנויות!$B:$B, תורנויות!$F:$F, ""), "")</f>
        <v>0</v>
      </c>
      <c r="G44" s="39">
        <f>IFERROR(_xlfn.XLOOKUP(G$37, תורנויות!$B:$B, תורנויות!$F:$F, ""), "")</f>
        <v>0</v>
      </c>
      <c r="H44" s="39">
        <f>IFERROR(_xlfn.XLOOKUP(H$37, תורנויות!$B:$B, תורנויות!$F:$F, ""), "")</f>
        <v>0</v>
      </c>
    </row>
    <row r="45" spans="1:19" x14ac:dyDescent="0.3">
      <c r="A45" s="29" t="s">
        <v>77</v>
      </c>
      <c r="B45" s="35"/>
      <c r="C45" s="35"/>
      <c r="D45" s="35"/>
      <c r="E45" s="35"/>
      <c r="F45" s="35"/>
      <c r="G45" s="40"/>
      <c r="H45" s="39"/>
    </row>
    <row r="46" spans="1:19" x14ac:dyDescent="0.3">
      <c r="A46" s="29" t="s">
        <v>22</v>
      </c>
      <c r="B46" s="35"/>
      <c r="C46" s="35"/>
      <c r="D46" s="35"/>
      <c r="E46" s="35"/>
      <c r="F46" s="35"/>
      <c r="G46" s="40"/>
      <c r="H46" s="39"/>
    </row>
    <row r="47" spans="1:19" x14ac:dyDescent="0.3">
      <c r="A47" s="29" t="s">
        <v>24</v>
      </c>
      <c r="B47" s="35"/>
      <c r="C47" s="35"/>
      <c r="D47" s="35"/>
      <c r="E47" s="35"/>
      <c r="F47" s="35"/>
      <c r="G47" s="39"/>
      <c r="H47" s="39"/>
    </row>
    <row r="48" spans="1:19" x14ac:dyDescent="0.3">
      <c r="A48" s="29" t="s">
        <v>25</v>
      </c>
      <c r="B48" s="35"/>
      <c r="C48" s="35"/>
      <c r="D48" s="35"/>
      <c r="E48" s="35"/>
      <c r="F48" s="35"/>
      <c r="G48" s="39"/>
      <c r="H48" s="39"/>
    </row>
    <row r="49" spans="1:8" x14ac:dyDescent="0.3">
      <c r="A49" s="29" t="s">
        <v>73</v>
      </c>
      <c r="B49" s="35"/>
      <c r="C49" s="35"/>
      <c r="D49" s="35"/>
      <c r="E49" s="35"/>
      <c r="F49" s="35"/>
      <c r="G49" s="39"/>
      <c r="H49" s="39"/>
    </row>
    <row r="50" spans="1:8" x14ac:dyDescent="0.3">
      <c r="A50" s="29" t="s">
        <v>26</v>
      </c>
      <c r="B50" s="35"/>
      <c r="C50" s="35"/>
      <c r="D50" s="35"/>
      <c r="E50" s="35"/>
      <c r="F50" s="35"/>
      <c r="G50" s="39"/>
      <c r="H50" s="39"/>
    </row>
    <row r="51" spans="1:8" x14ac:dyDescent="0.3">
      <c r="A51" s="29" t="s">
        <v>27</v>
      </c>
      <c r="B51" s="35"/>
      <c r="C51" s="35"/>
      <c r="D51" s="35"/>
      <c r="E51" s="35"/>
      <c r="F51" s="35"/>
      <c r="G51" s="39"/>
      <c r="H51" s="39"/>
    </row>
    <row r="52" spans="1:8" x14ac:dyDescent="0.3">
      <c r="A52" s="29" t="s">
        <v>28</v>
      </c>
      <c r="B52" s="35"/>
      <c r="C52" s="35"/>
      <c r="D52" s="35"/>
      <c r="E52" s="35"/>
      <c r="F52" s="35"/>
      <c r="G52" s="39"/>
      <c r="H52" s="39"/>
    </row>
    <row r="53" spans="1:8" x14ac:dyDescent="0.3">
      <c r="A53" s="29" t="s">
        <v>29</v>
      </c>
      <c r="B53" s="35"/>
      <c r="C53" s="35"/>
      <c r="D53" s="35"/>
      <c r="E53" s="35"/>
      <c r="F53" s="35"/>
      <c r="G53" s="39"/>
      <c r="H53" s="39"/>
    </row>
    <row r="54" spans="1:8" x14ac:dyDescent="0.3">
      <c r="A54" s="29" t="s">
        <v>30</v>
      </c>
      <c r="B54" s="35"/>
      <c r="C54" s="35"/>
      <c r="D54" s="35"/>
      <c r="E54" s="35"/>
      <c r="F54" s="35"/>
      <c r="G54" s="39"/>
      <c r="H54" s="39"/>
    </row>
    <row r="55" spans="1:8" x14ac:dyDescent="0.3">
      <c r="A55" s="29" t="s">
        <v>31</v>
      </c>
      <c r="B55" s="35"/>
      <c r="C55" s="35"/>
      <c r="D55" s="35"/>
      <c r="E55" s="35"/>
      <c r="F55" s="35"/>
      <c r="G55" s="39"/>
      <c r="H55" s="39"/>
    </row>
    <row r="56" spans="1:8" x14ac:dyDescent="0.3">
      <c r="A56" s="29" t="s">
        <v>33</v>
      </c>
      <c r="B56" s="35"/>
      <c r="C56" s="35"/>
      <c r="D56" s="35"/>
      <c r="E56" s="35"/>
      <c r="F56" s="35"/>
      <c r="G56" s="39"/>
      <c r="H56" s="39"/>
    </row>
    <row r="57" spans="1:8" x14ac:dyDescent="0.3">
      <c r="A57" s="29" t="s">
        <v>35</v>
      </c>
      <c r="B57" s="35"/>
      <c r="C57" s="35"/>
      <c r="D57" s="35"/>
      <c r="E57" s="35"/>
      <c r="F57" s="35"/>
      <c r="G57" s="39"/>
      <c r="H57" s="39"/>
    </row>
    <row r="58" spans="1:8" x14ac:dyDescent="0.3">
      <c r="A58" s="29" t="s">
        <v>37</v>
      </c>
      <c r="B58" s="35"/>
      <c r="C58" s="35"/>
      <c r="D58" s="35"/>
      <c r="E58" s="35"/>
      <c r="F58" s="35"/>
      <c r="G58" s="39"/>
      <c r="H58" s="39"/>
    </row>
    <row r="59" spans="1:8" x14ac:dyDescent="0.3">
      <c r="A59" s="29" t="s">
        <v>38</v>
      </c>
      <c r="B59" s="35"/>
      <c r="C59" s="35"/>
      <c r="D59" s="35"/>
      <c r="E59" s="35"/>
      <c r="F59" s="35"/>
      <c r="G59" s="39"/>
      <c r="H59" s="39"/>
    </row>
    <row r="60" spans="1:8" x14ac:dyDescent="0.3">
      <c r="A60" s="29" t="s">
        <v>39</v>
      </c>
      <c r="B60" s="35"/>
      <c r="C60" s="35"/>
      <c r="D60" s="35"/>
      <c r="E60" s="35"/>
      <c r="F60" s="35"/>
      <c r="G60" s="39"/>
      <c r="H60" s="39"/>
    </row>
    <row r="61" spans="1:8" x14ac:dyDescent="0.3">
      <c r="A61" s="29" t="s">
        <v>40</v>
      </c>
      <c r="B61" s="35"/>
      <c r="C61" s="35"/>
      <c r="D61" s="35"/>
      <c r="E61" s="35"/>
      <c r="F61" s="35"/>
      <c r="G61" s="39"/>
      <c r="H61" s="39"/>
    </row>
    <row r="62" spans="1:8" x14ac:dyDescent="0.3">
      <c r="A62" s="29" t="s">
        <v>41</v>
      </c>
      <c r="B62" s="35"/>
      <c r="C62" s="35"/>
      <c r="D62" s="35"/>
      <c r="E62" s="35"/>
      <c r="F62" s="35"/>
      <c r="G62" s="39"/>
      <c r="H62" s="39"/>
    </row>
    <row r="63" spans="1:8" x14ac:dyDescent="0.3">
      <c r="A63" s="29" t="s">
        <v>43</v>
      </c>
      <c r="B63" s="35"/>
      <c r="C63" s="35"/>
      <c r="D63" s="35"/>
      <c r="E63" s="35"/>
      <c r="F63" s="35"/>
      <c r="G63" s="39"/>
      <c r="H63" s="39"/>
    </row>
    <row r="64" spans="1:8" x14ac:dyDescent="0.3">
      <c r="A64" s="29" t="s">
        <v>44</v>
      </c>
      <c r="B64" s="35"/>
      <c r="C64" s="35"/>
      <c r="D64" s="35"/>
      <c r="E64" s="35"/>
      <c r="F64" s="35"/>
      <c r="G64" s="39"/>
      <c r="H64" s="39"/>
    </row>
    <row r="65" spans="1:8" x14ac:dyDescent="0.3">
      <c r="A65" s="29" t="s">
        <v>45</v>
      </c>
      <c r="B65" s="41" t="str">
        <f>IF(AND(OR('2026-03'!H$7="-",'2026-03'!H$7=""),OR('2026-03'!H$8="-",'2026-03'!H$8="")),"-",IF(OR('2026-03'!H$7="-",'2026-03'!H$7=""),"",'2026-03'!H$7)&amp;IF(AND(NOT(OR('2026-03'!H$7="-",'2026-03'!H$7="")),NOT(OR('2026-03'!H$8="-",'2026-03'!H$8=""))),", ","")&amp;IF(OR('2026-03'!H$8="-",'2026-03'!H$8=""),"",'2026-03'!H$8))</f>
        <v>0, 0</v>
      </c>
      <c r="C65" s="41" t="str">
        <f>IF(AND(OR('2026-03'!B$42="-",'2026-03'!B$42=""),OR('2026-03'!B$43="-",'2026-03'!B$43="")),"-",IF(OR('2026-03'!B$42="-",'2026-03'!B$42=""),"",'2026-03'!B$42)&amp;IF(AND(NOT(OR('2026-03'!B$42="-",'2026-03'!B$42="")),NOT(OR('2026-03'!B$43="-",'2026-03'!B$43=""))),", ","")&amp;IF(OR('2026-03'!B$43="-",'2026-03'!B$43=""),"",'2026-03'!B$43))</f>
        <v>0, 0</v>
      </c>
      <c r="D65" s="41" t="str">
        <f>IF(AND(OR('2026-03'!C$42="-",'2026-03'!C$42=""),OR('2026-03'!C$43="-",'2026-03'!C$43="")),"-",IF(OR('2026-03'!C$42="-",'2026-03'!C$42=""),"",'2026-03'!C$42)&amp;IF(AND(NOT(OR('2026-03'!C$42="-",'2026-03'!C$42="")),NOT(OR('2026-03'!C$43="-",'2026-03'!C$43=""))),", ","")&amp;IF(OR('2026-03'!C$43="-",'2026-03'!C$43=""),"",'2026-03'!C$43))</f>
        <v>0, 0</v>
      </c>
      <c r="E65" s="41" t="str">
        <f>IF(AND(OR('2026-03'!D$42="-",'2026-03'!D$42=""),OR('2026-03'!D$43="-",'2026-03'!D$43="")),"-",IF(OR('2026-03'!D$42="-",'2026-03'!D$42=""),"",'2026-03'!D$42)&amp;IF(AND(NOT(OR('2026-03'!D$42="-",'2026-03'!D$42="")),NOT(OR('2026-03'!D$43="-",'2026-03'!D$43=""))),", ","")&amp;IF(OR('2026-03'!D$43="-",'2026-03'!D$43=""),"",'2026-03'!D$43))</f>
        <v>0, 0</v>
      </c>
      <c r="F65" s="41" t="str">
        <f>IF(AND(OR('2026-03'!E$42="-",'2026-03'!E$42=""),OR('2026-03'!E$43="-",'2026-03'!E$43="")),"-",IF(OR('2026-03'!E$42="-",'2026-03'!E$42=""),"",'2026-03'!E$42)&amp;IF(AND(NOT(OR('2026-03'!E$42="-",'2026-03'!E$42="")),NOT(OR('2026-03'!E$43="-",'2026-03'!E$43=""))),", ","")&amp;IF(OR('2026-03'!E$43="-",'2026-03'!E$43=""),"",'2026-03'!E$43))</f>
        <v>0, 0</v>
      </c>
      <c r="G65" s="42" t="str">
        <f>IF(AND(OR('2026-03'!F$42="-",'2026-03'!F$42=""),OR('2026-03'!F$43="-",'2026-03'!F$43="")),"-",IF(OR('2026-03'!F$42="-",'2026-03'!F$42=""),"",'2026-03'!F$42)&amp;IF(AND(NOT(OR('2026-03'!F$42="-",'2026-03'!F$42="")),NOT(OR('2026-03'!F$43="-",'2026-03'!F$43=""))),", ","")&amp;IF(OR('2026-03'!F$43="-",'2026-03'!F$43=""),"",'2026-03'!F$43))</f>
        <v>0, 0</v>
      </c>
      <c r="H65" s="42" t="str">
        <f>IF(AND(OR('2026-03'!G$42="-",'2026-03'!G$42=""),OR('2026-03'!G$43="-",'2026-03'!G$43="")),"-",IF(OR('2026-03'!G$42="-",'2026-03'!G$42=""),"",'2026-03'!G$42)&amp;IF(AND(NOT(OR('2026-03'!G$42="-",'2026-03'!G$42="")),NOT(OR('2026-03'!G$43="-",'2026-03'!G$43=""))),", ","")&amp;IF(OR('2026-03'!G$43="-",'2026-03'!G$43=""),"",'2026-03'!G$43))</f>
        <v>0, 0</v>
      </c>
    </row>
    <row r="66" spans="1:8" x14ac:dyDescent="0.3">
      <c r="A66" s="29" t="s">
        <v>46</v>
      </c>
      <c r="B66" s="35"/>
      <c r="C66" s="35"/>
      <c r="D66" s="35"/>
      <c r="E66" s="35"/>
      <c r="F66" s="35"/>
      <c r="G66" s="39"/>
      <c r="H66" s="39"/>
    </row>
    <row r="67" spans="1:8" x14ac:dyDescent="0.3">
      <c r="A67" s="29" t="s">
        <v>47</v>
      </c>
      <c r="B67" s="35"/>
      <c r="C67" s="35"/>
      <c r="D67" s="35"/>
      <c r="E67" s="35"/>
      <c r="F67" s="35"/>
      <c r="G67" s="39"/>
      <c r="H67" s="39"/>
    </row>
    <row r="68" spans="1:8" x14ac:dyDescent="0.3">
      <c r="A68" s="29" t="s">
        <v>48</v>
      </c>
      <c r="B68" s="35"/>
      <c r="C68" s="35"/>
      <c r="D68" s="35"/>
      <c r="E68" s="35"/>
      <c r="F68" s="35"/>
      <c r="G68" s="39"/>
      <c r="H68" s="39"/>
    </row>
    <row r="69" spans="1:8" ht="115.2" x14ac:dyDescent="0.3">
      <c r="A69" s="29" t="s">
        <v>49</v>
      </c>
      <c r="B69" s="35" t="str" cm="1">
        <f t="array" ref="B69">_xlfn.LET(
  _xlpm.all, עובדים!$A$1:$A$28,
  _xlpm.listed, IFERROR(TRIM(_xlfn.TEXTSPLIT(_xlfn.TEXTJOIN(",",TRUE, B38:B40, B46:B68),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69" s="35" t="str" cm="1">
        <f t="array" ref="C69">_xlfn.LET(
  _xlpm.all, עובדים!$A$1:$A$28,
  _xlpm.listed, IFERROR(TRIM(_xlfn.TEXTSPLIT(_xlfn.TEXTJOIN(",",TRUE, C38:C40, C46:C68),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69" s="35" t="str" cm="1">
        <f t="array" ref="D69">_xlfn.LET(
  _xlpm.all, עובדים!$A$1:$A$28,
  _xlpm.listed, IFERROR(TRIM(_xlfn.TEXTSPLIT(_xlfn.TEXTJOIN(",",TRUE, D38:D40, D46:D68),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69" s="35" t="str" cm="1">
        <f t="array" ref="E69">_xlfn.LET(
  _xlpm.all, עובדים!$A$1:$A$28,
  _xlpm.listed, IFERROR(TRIM(_xlfn.TEXTSPLIT(_xlfn.TEXTJOIN(",",TRUE, E38:E40, E46:E68),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69" s="35" t="str" cm="1">
        <f t="array" ref="F69">_xlfn.LET(
  _xlpm.all, עובדים!$A$1:$A$28,
  _xlpm.listed, IFERROR(TRIM(_xlfn.TEXTSPLIT(_xlfn.TEXTJOIN(",",TRUE, F38:F40, F46:F68),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69" s="39" t="str" cm="1">
        <f t="array" ref="G69">_xlfn.LET(
  _xlpm.all, עובדים!$A$1:$A$28,
  _xlpm.listed, IFERROR(TRIM(_xlfn.TEXTSPLIT(_xlfn.TEXTJOIN(",",TRUE, G38:G40, G46:G68),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69" s="39" t="str" cm="1">
        <f t="array" ref="H69">_xlfn.LET(
  _xlpm.all, עובדים!$A$1:$A$28,
  _xlpm.listed, IFERROR(TRIM(_xlfn.TEXTSPLIT(_xlfn.TEXTJOIN(",",TRUE, H38:H40, H46:H68),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70" spans="1:8" x14ac:dyDescent="0.3">
      <c r="B70" s="49"/>
      <c r="C70" s="49"/>
      <c r="D70" s="49"/>
      <c r="E70" s="49"/>
      <c r="F70" s="49"/>
      <c r="G70" s="49"/>
      <c r="H70" s="49"/>
    </row>
    <row r="71" spans="1:8" x14ac:dyDescent="0.3">
      <c r="A71" s="27"/>
      <c r="B71" s="45"/>
      <c r="C71" s="45"/>
      <c r="D71" s="45"/>
      <c r="E71" s="45"/>
      <c r="F71" s="45"/>
      <c r="G71" s="46"/>
      <c r="H71" s="46"/>
    </row>
    <row r="72" spans="1:8" x14ac:dyDescent="0.3">
      <c r="A72" s="1" t="s">
        <v>0</v>
      </c>
      <c r="B72" s="47"/>
      <c r="C72" s="47"/>
      <c r="D72" s="47"/>
      <c r="E72" s="47"/>
      <c r="F72" s="47"/>
      <c r="G72" s="48"/>
      <c r="H72" s="48"/>
    </row>
    <row r="73" spans="1:8" x14ac:dyDescent="0.3">
      <c r="A73" s="29" t="s">
        <v>1</v>
      </c>
      <c r="B73" s="35"/>
      <c r="C73" s="37"/>
      <c r="D73" s="37"/>
      <c r="E73" s="37"/>
      <c r="F73" s="37"/>
      <c r="G73" s="39"/>
      <c r="H73" s="39"/>
    </row>
    <row r="74" spans="1:8" x14ac:dyDescent="0.3">
      <c r="A74" s="29" t="s">
        <v>7</v>
      </c>
      <c r="B74" s="35"/>
      <c r="C74" s="37"/>
      <c r="D74" s="37"/>
      <c r="E74" s="37"/>
      <c r="F74" s="37"/>
      <c r="G74" s="39"/>
      <c r="H74" s="39"/>
    </row>
    <row r="75" spans="1:8" x14ac:dyDescent="0.3">
      <c r="A75" s="29" t="s">
        <v>8</v>
      </c>
      <c r="B75" s="35"/>
      <c r="C75" s="35"/>
      <c r="D75" s="35"/>
      <c r="E75" s="35"/>
      <c r="F75" s="35"/>
      <c r="G75" s="39"/>
      <c r="H75" s="39"/>
    </row>
    <row r="76" spans="1:8" x14ac:dyDescent="0.3">
      <c r="A76" s="29" t="s">
        <v>78</v>
      </c>
      <c r="B76" s="35"/>
      <c r="C76" s="35"/>
      <c r="D76" s="35"/>
      <c r="E76" s="35"/>
      <c r="F76" s="35"/>
      <c r="G76" s="39"/>
      <c r="H76" s="39"/>
    </row>
    <row r="77" spans="1:8" x14ac:dyDescent="0.3">
      <c r="A77" s="29" t="s">
        <v>12</v>
      </c>
      <c r="B77" s="41">
        <f>IFERROR(_xlfn.XLOOKUP(B$72, תורנויות!$B:$B, תורנויות!$D:$D, ""), "")</f>
        <v>0</v>
      </c>
      <c r="C77" s="41">
        <f>IFERROR(_xlfn.XLOOKUP(C$72, תורנויות!$B:$B, תורנויות!$D:$D, ""), "")</f>
        <v>0</v>
      </c>
      <c r="D77" s="41">
        <f>IFERROR(_xlfn.XLOOKUP(D$72, תורנויות!$B:$B, תורנויות!$D:$D, ""), "")</f>
        <v>0</v>
      </c>
      <c r="E77" s="41">
        <f>IFERROR(_xlfn.XLOOKUP(E$72, תורנויות!$B:$B, תורנויות!$D:$D, ""), "")</f>
        <v>0</v>
      </c>
      <c r="F77" s="41">
        <f>IFERROR(_xlfn.XLOOKUP(F$72, תורנויות!$B:$B, תורנויות!$D:$D, ""), "")</f>
        <v>0</v>
      </c>
      <c r="G77" s="42">
        <f>IFERROR(_xlfn.XLOOKUP(G$72, תורנויות!$B:$B, תורנויות!$D:$D, ""), "")</f>
        <v>0</v>
      </c>
      <c r="H77" s="42">
        <f>IFERROR(_xlfn.XLOOKUP(H$72, תורנויות!$B:$B, תורנויות!$D:$D, ""), "")</f>
        <v>0</v>
      </c>
    </row>
    <row r="78" spans="1:8" x14ac:dyDescent="0.3">
      <c r="A78" s="29" t="s">
        <v>18</v>
      </c>
      <c r="B78" s="41">
        <f>IFERROR(_xlfn.XLOOKUP(B$72, תורנויות!$B:$B, תורנויות!$E:$E, ""), "")</f>
        <v>0</v>
      </c>
      <c r="C78" s="41">
        <f>IFERROR(_xlfn.XLOOKUP(C$72, תורנויות!$B:$B, תורנויות!$E:$E, ""), "")</f>
        <v>0</v>
      </c>
      <c r="D78" s="41">
        <f>IFERROR(_xlfn.XLOOKUP(D$72, תורנויות!$B:$B, תורנויות!$E:$E, ""), "")</f>
        <v>0</v>
      </c>
      <c r="E78" s="41">
        <f>IFERROR(_xlfn.XLOOKUP(E$72, תורנויות!$B:$B, תורנויות!$E:$E, ""), "")</f>
        <v>0</v>
      </c>
      <c r="F78" s="41">
        <f>IFERROR(_xlfn.XLOOKUP(F$72, תורנויות!$B:$B, תורנויות!$E:$E, ""), "")</f>
        <v>0</v>
      </c>
      <c r="G78" s="42">
        <f>IFERROR(_xlfn.XLOOKUP(G$72, תורנויות!$B:$B, תורנויות!$E:$E, ""), "")</f>
        <v>0</v>
      </c>
      <c r="H78" s="42">
        <f>IFERROR(_xlfn.XLOOKUP(H$72, תורנויות!$B:$B, תורנויות!$E:$E, ""), "")</f>
        <v>0</v>
      </c>
    </row>
    <row r="79" spans="1:8" x14ac:dyDescent="0.3">
      <c r="A79" s="29" t="s">
        <v>20</v>
      </c>
      <c r="B79" s="35">
        <f>IFERROR(_xlfn.XLOOKUP(B$72, תורנויות!$B:$B, תורנויות!$F:$F, ""), "")</f>
        <v>0</v>
      </c>
      <c r="C79" s="35">
        <f>IFERROR(_xlfn.XLOOKUP(C$72, תורנויות!$B:$B, תורנויות!$F:$F, ""), "")</f>
        <v>0</v>
      </c>
      <c r="D79" s="35">
        <f>IFERROR(_xlfn.XLOOKUP(D$72, תורנויות!$B:$B, תורנויות!$F:$F, ""), "")</f>
        <v>0</v>
      </c>
      <c r="E79" s="35">
        <f>IFERROR(_xlfn.XLOOKUP(E$72, תורנויות!$B:$B, תורנויות!$F:$F, ""), "")</f>
        <v>0</v>
      </c>
      <c r="F79" s="35">
        <f>IFERROR(_xlfn.XLOOKUP(F$72, תורנויות!$B:$B, תורנויות!$F:$F, ""), "")</f>
        <v>0</v>
      </c>
      <c r="G79" s="39">
        <f>IFERROR(_xlfn.XLOOKUP(G$72, תורנויות!$B:$B, תורנויות!$F:$F, ""), "")</f>
        <v>0</v>
      </c>
      <c r="H79" s="39">
        <f>IFERROR(_xlfn.XLOOKUP(H$72, תורנויות!$B:$B, תורנויות!$F:$F, ""), "")</f>
        <v>0</v>
      </c>
    </row>
    <row r="80" spans="1:8" x14ac:dyDescent="0.3">
      <c r="A80" s="29" t="s">
        <v>77</v>
      </c>
      <c r="B80" s="35"/>
      <c r="C80" s="35"/>
      <c r="D80" s="35"/>
      <c r="E80" s="35"/>
      <c r="F80" s="35"/>
      <c r="G80" s="39"/>
      <c r="H80" s="39"/>
    </row>
    <row r="81" spans="1:8" x14ac:dyDescent="0.3">
      <c r="A81" s="29" t="s">
        <v>22</v>
      </c>
      <c r="B81" s="35"/>
      <c r="C81" s="35"/>
      <c r="D81" s="35"/>
      <c r="E81" s="35"/>
      <c r="F81" s="35"/>
      <c r="G81" s="39"/>
      <c r="H81" s="39"/>
    </row>
    <row r="82" spans="1:8" x14ac:dyDescent="0.3">
      <c r="A82" s="29" t="s">
        <v>24</v>
      </c>
      <c r="B82" s="35"/>
      <c r="C82" s="35"/>
      <c r="D82" s="35"/>
      <c r="E82" s="35"/>
      <c r="F82" s="35"/>
      <c r="G82" s="39"/>
      <c r="H82" s="39"/>
    </row>
    <row r="83" spans="1:8" x14ac:dyDescent="0.3">
      <c r="A83" s="29" t="s">
        <v>25</v>
      </c>
      <c r="B83" s="35"/>
      <c r="C83" s="35"/>
      <c r="D83" s="35"/>
      <c r="E83" s="35"/>
      <c r="F83" s="35"/>
      <c r="G83" s="39"/>
      <c r="H83" s="39"/>
    </row>
    <row r="84" spans="1:8" x14ac:dyDescent="0.3">
      <c r="A84" s="29" t="s">
        <v>73</v>
      </c>
      <c r="B84" s="35"/>
      <c r="C84" s="35"/>
      <c r="D84" s="35"/>
      <c r="E84" s="35"/>
      <c r="F84" s="37"/>
      <c r="G84" s="39"/>
      <c r="H84" s="39"/>
    </row>
    <row r="85" spans="1:8" x14ac:dyDescent="0.3">
      <c r="A85" s="29" t="s">
        <v>26</v>
      </c>
      <c r="B85" s="35"/>
      <c r="C85" s="35"/>
      <c r="D85" s="35"/>
      <c r="E85" s="35"/>
      <c r="F85" s="35"/>
      <c r="G85" s="39"/>
      <c r="H85" s="39"/>
    </row>
    <row r="86" spans="1:8" x14ac:dyDescent="0.3">
      <c r="A86" s="29" t="s">
        <v>27</v>
      </c>
      <c r="B86" s="35"/>
      <c r="C86" s="35"/>
      <c r="D86" s="35"/>
      <c r="E86" s="35"/>
      <c r="F86" s="35"/>
      <c r="G86" s="39"/>
      <c r="H86" s="39"/>
    </row>
    <row r="87" spans="1:8" x14ac:dyDescent="0.3">
      <c r="A87" s="29" t="s">
        <v>28</v>
      </c>
      <c r="B87" s="35"/>
      <c r="C87" s="35"/>
      <c r="D87" s="35"/>
      <c r="E87" s="35"/>
      <c r="F87" s="35"/>
      <c r="G87" s="39"/>
      <c r="H87" s="39"/>
    </row>
    <row r="88" spans="1:8" x14ac:dyDescent="0.3">
      <c r="A88" s="29" t="s">
        <v>29</v>
      </c>
      <c r="B88" s="35"/>
      <c r="C88" s="35"/>
      <c r="D88" s="35"/>
      <c r="E88" s="35"/>
      <c r="F88" s="35"/>
      <c r="G88" s="39"/>
      <c r="H88" s="39"/>
    </row>
    <row r="89" spans="1:8" x14ac:dyDescent="0.3">
      <c r="A89" s="29" t="s">
        <v>30</v>
      </c>
      <c r="B89" s="35"/>
      <c r="C89" s="35"/>
      <c r="D89" s="35"/>
      <c r="E89" s="35"/>
      <c r="F89" s="35"/>
      <c r="G89" s="39"/>
      <c r="H89" s="39"/>
    </row>
    <row r="90" spans="1:8" x14ac:dyDescent="0.3">
      <c r="A90" s="29" t="s">
        <v>31</v>
      </c>
      <c r="B90" s="35"/>
      <c r="C90" s="35"/>
      <c r="D90" s="35"/>
      <c r="E90" s="35"/>
      <c r="F90" s="35"/>
      <c r="G90" s="39"/>
      <c r="H90" s="39"/>
    </row>
    <row r="91" spans="1:8" x14ac:dyDescent="0.3">
      <c r="A91" s="29" t="s">
        <v>33</v>
      </c>
      <c r="B91" s="35"/>
      <c r="C91" s="35"/>
      <c r="D91" s="35"/>
      <c r="E91" s="35"/>
      <c r="F91" s="35"/>
      <c r="G91" s="39"/>
      <c r="H91" s="39"/>
    </row>
    <row r="92" spans="1:8" x14ac:dyDescent="0.3">
      <c r="A92" s="29" t="s">
        <v>35</v>
      </c>
      <c r="B92" s="35"/>
      <c r="C92" s="35"/>
      <c r="D92" s="35"/>
      <c r="E92" s="35"/>
      <c r="F92" s="35"/>
      <c r="G92" s="39"/>
      <c r="H92" s="39"/>
    </row>
    <row r="93" spans="1:8" x14ac:dyDescent="0.3">
      <c r="A93" s="29" t="s">
        <v>37</v>
      </c>
      <c r="B93" s="35"/>
      <c r="C93" s="35"/>
      <c r="D93" s="35"/>
      <c r="E93" s="35"/>
      <c r="F93" s="35"/>
      <c r="G93" s="39"/>
      <c r="H93" s="39"/>
    </row>
    <row r="94" spans="1:8" x14ac:dyDescent="0.3">
      <c r="A94" s="29" t="s">
        <v>38</v>
      </c>
      <c r="B94" s="35"/>
      <c r="C94" s="35"/>
      <c r="D94" s="35"/>
      <c r="E94" s="35"/>
      <c r="F94" s="35"/>
      <c r="G94" s="39"/>
      <c r="H94" s="39"/>
    </row>
    <row r="95" spans="1:8" x14ac:dyDescent="0.3">
      <c r="A95" s="29" t="s">
        <v>39</v>
      </c>
      <c r="B95" s="35"/>
      <c r="C95" s="35"/>
      <c r="D95" s="35"/>
      <c r="E95" s="35"/>
      <c r="F95" s="35"/>
      <c r="G95" s="39"/>
      <c r="H95" s="39"/>
    </row>
    <row r="96" spans="1:8" x14ac:dyDescent="0.3">
      <c r="A96" s="29" t="s">
        <v>40</v>
      </c>
      <c r="B96" s="35"/>
      <c r="C96" s="35"/>
      <c r="D96" s="35"/>
      <c r="E96" s="35"/>
      <c r="F96" s="35"/>
      <c r="G96" s="39"/>
      <c r="H96" s="39"/>
    </row>
    <row r="97" spans="1:8" x14ac:dyDescent="0.3">
      <c r="A97" s="29" t="s">
        <v>41</v>
      </c>
      <c r="B97" s="35"/>
      <c r="C97" s="35"/>
      <c r="D97" s="35"/>
      <c r="E97" s="35"/>
      <c r="F97" s="35"/>
      <c r="G97" s="39"/>
      <c r="H97" s="39"/>
    </row>
    <row r="98" spans="1:8" x14ac:dyDescent="0.3">
      <c r="A98" s="29" t="s">
        <v>43</v>
      </c>
      <c r="B98" s="35"/>
      <c r="C98" s="35"/>
      <c r="D98" s="35"/>
      <c r="E98" s="35"/>
      <c r="F98" s="37"/>
      <c r="G98" s="39"/>
      <c r="H98" s="39"/>
    </row>
    <row r="99" spans="1:8" x14ac:dyDescent="0.3">
      <c r="A99" s="29" t="s">
        <v>44</v>
      </c>
      <c r="B99" s="35"/>
      <c r="C99" s="35"/>
      <c r="D99" s="35"/>
      <c r="E99" s="35"/>
      <c r="F99" s="37"/>
      <c r="G99" s="39"/>
      <c r="H99" s="39"/>
    </row>
    <row r="100" spans="1:8" x14ac:dyDescent="0.3">
      <c r="A100" s="29" t="s">
        <v>45</v>
      </c>
      <c r="B100" s="41" t="str">
        <f>IF(AND(OR('2026-03'!H$42="-",'2026-03'!H$42=""),OR('2026-03'!H$43="-",'2026-03'!H$43="")),"-",IF(OR('2026-03'!H$42="-",'2026-03'!H$42=""),"",'2026-03'!H$42)&amp;IF(AND(NOT(OR('2026-03'!H$42="-",'2026-03'!H$42="")),NOT(OR('2026-03'!H$43="-",'2026-03'!H$43=""))),", ","")&amp;IF(OR('2026-03'!H$43="-",'2026-03'!H$43=""),"",'2026-03'!H$43))</f>
        <v>0, 0</v>
      </c>
      <c r="C100" s="41" t="str">
        <f>IF(AND(OR('2026-03'!B$77="-",'2026-03'!B$77=""),OR('2026-03'!B$78="-",'2026-03'!B$78="")),"-",IF(OR('2026-03'!B$77="-",'2026-03'!B$77=""),"",'2026-03'!B$77)&amp;IF(AND(NOT(OR('2026-03'!B$77="-",'2026-03'!B$77="")),NOT(OR('2026-03'!B$78="-",'2026-03'!B$78=""))),", ","")&amp;IF(OR('2026-03'!B$78="-",'2026-03'!B$78=""),"",'2026-03'!B$78))</f>
        <v>0, 0</v>
      </c>
      <c r="D100" s="41" t="str">
        <f>IF(AND(OR('2026-03'!C$77="-",'2026-03'!C$77=""),OR('2026-03'!C$78="-",'2026-03'!C$78="")),"-",IF(OR('2026-03'!C$77="-",'2026-03'!C$77=""),"",'2026-03'!C$77)&amp;IF(AND(NOT(OR('2026-03'!C$77="-",'2026-03'!C$77="")),NOT(OR('2026-03'!C$78="-",'2026-03'!C$78=""))),", ","")&amp;IF(OR('2026-03'!C$78="-",'2026-03'!C$78=""),"",'2026-03'!C$78))</f>
        <v>0, 0</v>
      </c>
      <c r="E100" s="41" t="str">
        <f>IF(AND(OR('2026-03'!D$77="-",'2026-03'!D$77=""),OR('2026-03'!D$78="-",'2026-03'!D$78="")),"-",IF(OR('2026-03'!D$77="-",'2026-03'!D$77=""),"",'2026-03'!D$77)&amp;IF(AND(NOT(OR('2026-03'!D$77="-",'2026-03'!D$77="")),NOT(OR('2026-03'!D$78="-",'2026-03'!D$78=""))),", ","")&amp;IF(OR('2026-03'!D$78="-",'2026-03'!D$78=""),"",'2026-03'!D$78))</f>
        <v>0, 0</v>
      </c>
      <c r="F100" s="41" t="str">
        <f>IF(AND(OR('2026-03'!E$77="-",'2026-03'!E$77=""),OR('2026-03'!E$78="-",'2026-03'!E$78="")),"-",IF(OR('2026-03'!E$77="-",'2026-03'!E$77=""),"",'2026-03'!E$77)&amp;IF(AND(NOT(OR('2026-03'!E$77="-",'2026-03'!E$77="")),NOT(OR('2026-03'!E$78="-",'2026-03'!E$78=""))),", ","")&amp;IF(OR('2026-03'!E$78="-",'2026-03'!E$78=""),"",'2026-03'!E$78))</f>
        <v>0, 0</v>
      </c>
      <c r="G100" s="42" t="str">
        <f>IF(AND(OR('2026-03'!F$77="-",'2026-03'!F$77=""),OR('2026-03'!F$78="-",'2026-03'!F$78="")),"-",IF(OR('2026-03'!F$77="-",'2026-03'!F$77=""),"",'2026-03'!F$77)&amp;IF(AND(NOT(OR('2026-03'!F$77="-",'2026-03'!F$77="")),NOT(OR('2026-03'!F$78="-",'2026-03'!F$78=""))),", ","")&amp;IF(OR('2026-03'!F$78="-",'2026-03'!F$78=""),"",'2026-03'!F$78))</f>
        <v>0, 0</v>
      </c>
      <c r="H100" s="42" t="str">
        <f>IF(AND(OR('2026-03'!G$77="-",'2026-03'!G$77=""),OR('2026-03'!G$78="-",'2026-03'!G$78="")),"-",IF(OR('2026-03'!G$77="-",'2026-03'!G$77=""),"",'2026-03'!G$77)&amp;IF(AND(NOT(OR('2026-03'!G$77="-",'2026-03'!G$77="")),NOT(OR('2026-03'!G$78="-",'2026-03'!G$78=""))),", ","")&amp;IF(OR('2026-03'!G$78="-",'2026-03'!G$78=""),"",'2026-03'!G$78))</f>
        <v>0, 0</v>
      </c>
    </row>
    <row r="101" spans="1:8" x14ac:dyDescent="0.3">
      <c r="A101" s="29" t="s">
        <v>46</v>
      </c>
      <c r="B101" s="35"/>
      <c r="C101" s="35"/>
      <c r="D101" s="35"/>
      <c r="E101" s="35"/>
      <c r="F101" s="35"/>
      <c r="G101" s="39"/>
      <c r="H101" s="39"/>
    </row>
    <row r="102" spans="1:8" x14ac:dyDescent="0.3">
      <c r="A102" s="29" t="s">
        <v>47</v>
      </c>
      <c r="B102" s="35"/>
      <c r="C102" s="35"/>
      <c r="D102" s="35"/>
      <c r="E102" s="35"/>
      <c r="F102" s="35"/>
      <c r="G102" s="39"/>
      <c r="H102" s="39"/>
    </row>
    <row r="103" spans="1:8" x14ac:dyDescent="0.3">
      <c r="A103" s="29" t="s">
        <v>48</v>
      </c>
      <c r="B103" s="35"/>
      <c r="C103" s="35"/>
      <c r="D103" s="35"/>
      <c r="E103" s="35"/>
      <c r="F103" s="35"/>
      <c r="G103" s="39"/>
      <c r="H103" s="39"/>
    </row>
    <row r="104" spans="1:8" ht="115.2" x14ac:dyDescent="0.3">
      <c r="A104" s="29" t="s">
        <v>49</v>
      </c>
      <c r="B104" s="35" t="str" cm="1">
        <f t="array" ref="B104">_xlfn.LET(
  _xlpm.all, עובדים!$A$1:$A$28,
  _xlpm.listed, IFERROR(TRIM(_xlfn.TEXTSPLIT(_xlfn.TEXTJOIN(",",TRUE, B73:B75, B81:B103),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04" s="35" t="str" cm="1">
        <f t="array" ref="C104">_xlfn.LET(
  _xlpm.all, עובדים!$A$1:$A$28,
  _xlpm.listed, IFERROR(TRIM(_xlfn.TEXTSPLIT(_xlfn.TEXTJOIN(",",TRUE, C73:C75, C81:C103),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04" s="35" t="str" cm="1">
        <f t="array" ref="D104">_xlfn.LET(
  _xlpm.all, עובדים!$A$1:$A$28,
  _xlpm.listed, IFERROR(TRIM(_xlfn.TEXTSPLIT(_xlfn.TEXTJOIN(",",TRUE, D73:D75, D81:D103),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04" s="35" t="str" cm="1">
        <f t="array" ref="E104">_xlfn.LET(
  _xlpm.all, עובדים!$A$1:$A$28,
  _xlpm.listed, IFERROR(TRIM(_xlfn.TEXTSPLIT(_xlfn.TEXTJOIN(",",TRUE, E73:E75, E81:E103),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04" s="35" t="str" cm="1">
        <f t="array" ref="F104">_xlfn.LET(
  _xlpm.all, עובדים!$A$1:$A$28,
  _xlpm.listed, IFERROR(TRIM(_xlfn.TEXTSPLIT(_xlfn.TEXTJOIN(",",TRUE, F73:F75, F81:F103),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04" s="39" t="str" cm="1">
        <f t="array" ref="G104">_xlfn.LET(
  _xlpm.all, עובדים!$A$1:$A$28,
  _xlpm.listed, IFERROR(TRIM(_xlfn.TEXTSPLIT(_xlfn.TEXTJOIN(",",TRUE, G73:G75, G81:G103),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04" s="39" t="str" cm="1">
        <f t="array" ref="H104">_xlfn.LET(
  _xlpm.all, עובדים!$A$1:$A$28,
  _xlpm.listed, IFERROR(TRIM(_xlfn.TEXTSPLIT(_xlfn.TEXTJOIN(",",TRUE, H73:H75, H81:H103),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05" spans="1:8" x14ac:dyDescent="0.3">
      <c r="B105" s="49"/>
      <c r="C105" s="49"/>
      <c r="D105" s="49"/>
      <c r="E105" s="49"/>
      <c r="F105" s="49"/>
      <c r="G105" s="49"/>
      <c r="H105" s="49"/>
    </row>
    <row r="106" spans="1:8" x14ac:dyDescent="0.3">
      <c r="A106" s="27"/>
      <c r="B106" s="45"/>
      <c r="C106" s="45"/>
      <c r="D106" s="45"/>
      <c r="E106" s="45"/>
      <c r="F106" s="45"/>
      <c r="G106" s="46"/>
      <c r="H106" s="46"/>
    </row>
    <row r="107" spans="1:8" x14ac:dyDescent="0.3">
      <c r="A107" s="1" t="s">
        <v>0</v>
      </c>
      <c r="B107" s="47"/>
      <c r="C107" s="47"/>
      <c r="D107" s="47"/>
      <c r="E107" s="47"/>
      <c r="F107" s="47"/>
      <c r="G107" s="48"/>
      <c r="H107" s="48"/>
    </row>
    <row r="108" spans="1:8" x14ac:dyDescent="0.3">
      <c r="A108" s="29" t="s">
        <v>1</v>
      </c>
      <c r="B108" s="37"/>
      <c r="C108" s="37"/>
      <c r="D108" s="37"/>
      <c r="E108" s="37"/>
      <c r="F108" s="37"/>
      <c r="G108" s="39"/>
      <c r="H108" s="39"/>
    </row>
    <row r="109" spans="1:8" x14ac:dyDescent="0.3">
      <c r="A109" s="29" t="s">
        <v>7</v>
      </c>
      <c r="B109" s="37"/>
      <c r="C109" s="37"/>
      <c r="D109" s="37"/>
      <c r="E109" s="37"/>
      <c r="F109" s="37"/>
      <c r="G109" s="39"/>
      <c r="H109" s="39"/>
    </row>
    <row r="110" spans="1:8" x14ac:dyDescent="0.3">
      <c r="A110" s="29" t="s">
        <v>8</v>
      </c>
      <c r="B110" s="35"/>
      <c r="C110" s="35"/>
      <c r="D110" s="35"/>
      <c r="E110" s="35"/>
      <c r="F110" s="35"/>
      <c r="G110" s="39"/>
      <c r="H110" s="39"/>
    </row>
    <row r="111" spans="1:8" x14ac:dyDescent="0.3">
      <c r="A111" s="29" t="s">
        <v>78</v>
      </c>
      <c r="B111" s="35"/>
      <c r="C111" s="35"/>
      <c r="D111" s="35"/>
      <c r="E111" s="35"/>
      <c r="F111" s="35"/>
      <c r="G111" s="39"/>
      <c r="H111" s="39"/>
    </row>
    <row r="112" spans="1:8" x14ac:dyDescent="0.3">
      <c r="A112" s="29" t="s">
        <v>12</v>
      </c>
      <c r="B112" s="41">
        <f>IFERROR(_xlfn.XLOOKUP(B$107, תורנויות!$B:$B, תורנויות!$D:$D, ""), "")</f>
        <v>0</v>
      </c>
      <c r="C112" s="41">
        <f>IFERROR(_xlfn.XLOOKUP(C$107, תורנויות!$B:$B, תורנויות!$D:$D, ""), "")</f>
        <v>0</v>
      </c>
      <c r="D112" s="41">
        <f>IFERROR(_xlfn.XLOOKUP(D$107, תורנויות!$B:$B, תורנויות!$D:$D, ""), "")</f>
        <v>0</v>
      </c>
      <c r="E112" s="41">
        <f>IFERROR(_xlfn.XLOOKUP(E$107, תורנויות!$B:$B, תורנויות!$D:$D, ""), "")</f>
        <v>0</v>
      </c>
      <c r="F112" s="41">
        <f>IFERROR(_xlfn.XLOOKUP(F$107, תורנויות!$B:$B, תורנויות!$D:$D, ""), "")</f>
        <v>0</v>
      </c>
      <c r="G112" s="42">
        <f>IFERROR(_xlfn.XLOOKUP(G$107, תורנויות!$B:$B, תורנויות!$D:$D, ""), "")</f>
        <v>0</v>
      </c>
      <c r="H112" s="42">
        <f>IFERROR(_xlfn.XLOOKUP(H$107, תורנויות!$B:$B, תורנויות!$D:$D, ""), "")</f>
        <v>0</v>
      </c>
    </row>
    <row r="113" spans="1:8" x14ac:dyDescent="0.3">
      <c r="A113" s="29" t="s">
        <v>18</v>
      </c>
      <c r="B113" s="41">
        <f>IFERROR(_xlfn.XLOOKUP(B$107, תורנויות!$B:$B, תורנויות!$E:$E, ""), "")</f>
        <v>0</v>
      </c>
      <c r="C113" s="41">
        <f>IFERROR(_xlfn.XLOOKUP(C$107, תורנויות!$B:$B, תורנויות!$E:$E, ""), "")</f>
        <v>0</v>
      </c>
      <c r="D113" s="41">
        <f>IFERROR(_xlfn.XLOOKUP(D$107, תורנויות!$B:$B, תורנויות!$E:$E, ""), "")</f>
        <v>0</v>
      </c>
      <c r="E113" s="41">
        <f>IFERROR(_xlfn.XLOOKUP(E$107, תורנויות!$B:$B, תורנויות!$E:$E, ""), "")</f>
        <v>0</v>
      </c>
      <c r="F113" s="41">
        <f>IFERROR(_xlfn.XLOOKUP(F$107, תורנויות!$B:$B, תורנויות!$E:$E, ""), "")</f>
        <v>0</v>
      </c>
      <c r="G113" s="42">
        <f>IFERROR(_xlfn.XLOOKUP(G$107, תורנויות!$B:$B, תורנויות!$E:$E, ""), "")</f>
        <v>0</v>
      </c>
      <c r="H113" s="42">
        <f>IFERROR(_xlfn.XLOOKUP(H$107, תורנויות!$B:$B, תורנויות!$E:$E, ""), "")</f>
        <v>0</v>
      </c>
    </row>
    <row r="114" spans="1:8" x14ac:dyDescent="0.3">
      <c r="A114" s="29" t="s">
        <v>20</v>
      </c>
      <c r="B114" s="35">
        <f>IFERROR(_xlfn.XLOOKUP(B$107, תורנויות!$B:$B, תורנויות!$F:$F, ""), "")</f>
        <v>0</v>
      </c>
      <c r="C114" s="35">
        <f>IFERROR(_xlfn.XLOOKUP(C$107, תורנויות!$B:$B, תורנויות!$F:$F, ""), "")</f>
        <v>0</v>
      </c>
      <c r="D114" s="35">
        <f>IFERROR(_xlfn.XLOOKUP(D$107, תורנויות!$B:$B, תורנויות!$F:$F, ""), "")</f>
        <v>0</v>
      </c>
      <c r="E114" s="35">
        <f>IFERROR(_xlfn.XLOOKUP(E$107, תורנויות!$B:$B, תורנויות!$F:$F, ""), "")</f>
        <v>0</v>
      </c>
      <c r="F114" s="35">
        <f>IFERROR(_xlfn.XLOOKUP(F$107, תורנויות!$B:$B, תורנויות!$F:$F, ""), "")</f>
        <v>0</v>
      </c>
      <c r="G114" s="39">
        <f>IFERROR(_xlfn.XLOOKUP(G$107, תורנויות!$B:$B, תורנויות!$F:$F, ""), "")</f>
        <v>0</v>
      </c>
      <c r="H114" s="39">
        <f>IFERROR(_xlfn.XLOOKUP(H$107, תורנויות!$B:$B, תורנויות!$F:$F, ""), "")</f>
        <v>0</v>
      </c>
    </row>
    <row r="115" spans="1:8" x14ac:dyDescent="0.3">
      <c r="A115" s="29" t="s">
        <v>77</v>
      </c>
      <c r="B115" s="35"/>
      <c r="C115" s="35"/>
      <c r="D115" s="35"/>
      <c r="E115" s="35"/>
      <c r="F115" s="35"/>
      <c r="G115" s="39"/>
      <c r="H115" s="39"/>
    </row>
    <row r="116" spans="1:8" x14ac:dyDescent="0.3">
      <c r="A116" s="29" t="s">
        <v>22</v>
      </c>
      <c r="B116" s="35"/>
      <c r="C116" s="35"/>
      <c r="D116" s="35"/>
      <c r="E116" s="35"/>
      <c r="F116" s="35"/>
      <c r="G116" s="39"/>
      <c r="H116" s="39"/>
    </row>
    <row r="117" spans="1:8" x14ac:dyDescent="0.3">
      <c r="A117" s="29" t="s">
        <v>24</v>
      </c>
      <c r="B117" s="35"/>
      <c r="C117" s="35"/>
      <c r="D117" s="35"/>
      <c r="E117" s="35"/>
      <c r="F117" s="35"/>
      <c r="G117" s="39"/>
      <c r="H117" s="39"/>
    </row>
    <row r="118" spans="1:8" x14ac:dyDescent="0.3">
      <c r="A118" s="29" t="s">
        <v>25</v>
      </c>
      <c r="B118" s="35"/>
      <c r="C118" s="35"/>
      <c r="D118" s="35"/>
      <c r="E118" s="35"/>
      <c r="F118" s="35"/>
      <c r="G118" s="39"/>
      <c r="H118" s="39"/>
    </row>
    <row r="119" spans="1:8" x14ac:dyDescent="0.3">
      <c r="A119" s="29" t="s">
        <v>73</v>
      </c>
      <c r="B119" s="35"/>
      <c r="C119" s="35"/>
      <c r="D119" s="35"/>
      <c r="E119" s="35"/>
      <c r="F119" s="35"/>
      <c r="G119" s="39"/>
      <c r="H119" s="39"/>
    </row>
    <row r="120" spans="1:8" x14ac:dyDescent="0.3">
      <c r="A120" s="29" t="s">
        <v>26</v>
      </c>
      <c r="B120" s="35"/>
      <c r="C120" s="35"/>
      <c r="D120" s="35"/>
      <c r="E120" s="35"/>
      <c r="F120" s="35"/>
      <c r="G120" s="39"/>
      <c r="H120" s="39"/>
    </row>
    <row r="121" spans="1:8" x14ac:dyDescent="0.3">
      <c r="A121" s="29" t="s">
        <v>27</v>
      </c>
      <c r="B121" s="35"/>
      <c r="C121" s="35"/>
      <c r="D121" s="35"/>
      <c r="E121" s="35"/>
      <c r="F121" s="35"/>
      <c r="G121" s="39"/>
      <c r="H121" s="39"/>
    </row>
    <row r="122" spans="1:8" x14ac:dyDescent="0.3">
      <c r="A122" s="29" t="s">
        <v>28</v>
      </c>
      <c r="B122" s="35"/>
      <c r="C122" s="35"/>
      <c r="D122" s="35"/>
      <c r="E122" s="35"/>
      <c r="F122" s="35"/>
      <c r="G122" s="39"/>
      <c r="H122" s="39"/>
    </row>
    <row r="123" spans="1:8" x14ac:dyDescent="0.3">
      <c r="A123" s="29" t="s">
        <v>29</v>
      </c>
      <c r="B123" s="35"/>
      <c r="C123" s="35"/>
      <c r="D123" s="35"/>
      <c r="E123" s="35"/>
      <c r="F123" s="35"/>
      <c r="G123" s="39"/>
      <c r="H123" s="39"/>
    </row>
    <row r="124" spans="1:8" x14ac:dyDescent="0.3">
      <c r="A124" s="29" t="s">
        <v>30</v>
      </c>
      <c r="B124" s="35"/>
      <c r="C124" s="35"/>
      <c r="D124" s="35"/>
      <c r="E124" s="35"/>
      <c r="F124" s="35"/>
      <c r="G124" s="39"/>
      <c r="H124" s="39"/>
    </row>
    <row r="125" spans="1:8" x14ac:dyDescent="0.3">
      <c r="A125" s="29" t="s">
        <v>31</v>
      </c>
      <c r="B125" s="35"/>
      <c r="C125" s="35"/>
      <c r="D125" s="35"/>
      <c r="E125" s="35"/>
      <c r="F125" s="35"/>
      <c r="G125" s="39"/>
      <c r="H125" s="39"/>
    </row>
    <row r="126" spans="1:8" x14ac:dyDescent="0.3">
      <c r="A126" s="29" t="s">
        <v>33</v>
      </c>
      <c r="B126" s="35"/>
      <c r="C126" s="35"/>
      <c r="D126" s="35"/>
      <c r="E126" s="35"/>
      <c r="F126" s="35"/>
      <c r="G126" s="39"/>
      <c r="H126" s="39"/>
    </row>
    <row r="127" spans="1:8" x14ac:dyDescent="0.3">
      <c r="A127" s="29" t="s">
        <v>35</v>
      </c>
      <c r="B127" s="35"/>
      <c r="C127" s="35"/>
      <c r="D127" s="35"/>
      <c r="E127" s="35"/>
      <c r="F127" s="35"/>
      <c r="G127" s="39"/>
      <c r="H127" s="39"/>
    </row>
    <row r="128" spans="1:8" x14ac:dyDescent="0.3">
      <c r="A128" s="29" t="s">
        <v>37</v>
      </c>
      <c r="B128" s="35"/>
      <c r="C128" s="35"/>
      <c r="D128" s="35"/>
      <c r="E128" s="35"/>
      <c r="F128" s="35"/>
      <c r="G128" s="39"/>
      <c r="H128" s="39"/>
    </row>
    <row r="129" spans="1:8" x14ac:dyDescent="0.3">
      <c r="A129" s="29" t="s">
        <v>38</v>
      </c>
      <c r="B129" s="35"/>
      <c r="C129" s="35"/>
      <c r="D129" s="35"/>
      <c r="E129" s="35"/>
      <c r="F129" s="35"/>
      <c r="G129" s="39"/>
      <c r="H129" s="39"/>
    </row>
    <row r="130" spans="1:8" x14ac:dyDescent="0.3">
      <c r="A130" s="29" t="s">
        <v>39</v>
      </c>
      <c r="B130" s="35"/>
      <c r="C130" s="35"/>
      <c r="D130" s="35"/>
      <c r="E130" s="35"/>
      <c r="F130" s="35"/>
      <c r="G130" s="39"/>
      <c r="H130" s="39"/>
    </row>
    <row r="131" spans="1:8" x14ac:dyDescent="0.3">
      <c r="A131" s="29" t="s">
        <v>40</v>
      </c>
      <c r="B131" s="35"/>
      <c r="C131" s="35"/>
      <c r="D131" s="35"/>
      <c r="E131" s="35"/>
      <c r="F131" s="35"/>
      <c r="G131" s="39"/>
      <c r="H131" s="39"/>
    </row>
    <row r="132" spans="1:8" x14ac:dyDescent="0.3">
      <c r="A132" s="29" t="s">
        <v>41</v>
      </c>
      <c r="B132" s="35"/>
      <c r="C132" s="35"/>
      <c r="D132" s="35"/>
      <c r="E132" s="35"/>
      <c r="F132" s="35"/>
      <c r="G132" s="39"/>
      <c r="H132" s="39"/>
    </row>
    <row r="133" spans="1:8" x14ac:dyDescent="0.3">
      <c r="A133" s="29" t="s">
        <v>43</v>
      </c>
      <c r="B133" s="37"/>
      <c r="C133" s="37"/>
      <c r="D133" s="37"/>
      <c r="E133" s="37"/>
      <c r="F133" s="37"/>
      <c r="G133" s="39"/>
      <c r="H133" s="39"/>
    </row>
    <row r="134" spans="1:8" x14ac:dyDescent="0.3">
      <c r="A134" s="29" t="s">
        <v>44</v>
      </c>
      <c r="B134" s="35"/>
      <c r="C134" s="35"/>
      <c r="D134" s="35"/>
      <c r="E134" s="35"/>
      <c r="F134" s="35"/>
      <c r="G134" s="39"/>
      <c r="H134" s="39"/>
    </row>
    <row r="135" spans="1:8" x14ac:dyDescent="0.3">
      <c r="A135" s="29" t="s">
        <v>45</v>
      </c>
      <c r="B135" s="41" t="str">
        <f>IF(AND(OR('2026-03'!H$77="-",'2026-03'!H$77=""),OR('2026-03'!H$78="-",'2026-03'!H$78="")),"-",IF(OR('2026-03'!H$77="-",'2026-03'!H$77=""),"",'2026-03'!H$77)&amp;IF(AND(NOT(OR('2026-03'!H$77="-",'2026-03'!H$77="")),NOT(OR('2026-03'!H$78="-",'2026-03'!H$78=""))),", ","")&amp;IF(OR('2026-03'!H$78="-",'2026-03'!H$78=""),"",'2026-03'!H$78))</f>
        <v>0, 0</v>
      </c>
      <c r="C135" s="41" t="str">
        <f>IF(AND(OR('2026-03'!B$112="-",'2026-03'!B$112=""),OR('2026-03'!B$113="-",'2026-03'!B$113="")),"-",IF(OR('2026-03'!B$112="-",'2026-03'!B$112=""),"",'2026-03'!B$112)&amp;IF(AND(NOT(OR('2026-03'!B$112="-",'2026-03'!B$112="")),NOT(OR('2026-03'!B$113="-",'2026-03'!B$113=""))),", ","")&amp;IF(OR('2026-03'!B$113="-",'2026-03'!B$113=""),"",'2026-03'!B$113))</f>
        <v>0, 0</v>
      </c>
      <c r="D135" s="41" t="str">
        <f>IF(AND(OR('2026-03'!C$112="-",'2026-03'!C$112=""),OR('2026-03'!C$113="-",'2026-03'!C$113="")),"-",IF(OR('2026-03'!C$112="-",'2026-03'!C$112=""),"",'2026-03'!C$112)&amp;IF(AND(NOT(OR('2026-03'!C$112="-",'2026-03'!C$112="")),NOT(OR('2026-03'!C$113="-",'2026-03'!C$113=""))),", ","")&amp;IF(OR('2026-03'!C$113="-",'2026-03'!C$113=""),"",'2026-03'!C$113))</f>
        <v>0, 0</v>
      </c>
      <c r="E135" s="41" t="str">
        <f>IF(AND(OR('2026-03'!D$112="-",'2026-03'!D$112=""),OR('2026-03'!D$113="-",'2026-03'!D$113="")),"-",IF(OR('2026-03'!D$112="-",'2026-03'!D$112=""),"",'2026-03'!D$112)&amp;IF(AND(NOT(OR('2026-03'!D$112="-",'2026-03'!D$112="")),NOT(OR('2026-03'!D$113="-",'2026-03'!D$113=""))),", ","")&amp;IF(OR('2026-03'!D$113="-",'2026-03'!D$113=""),"",'2026-03'!D$113))</f>
        <v>0, 0</v>
      </c>
      <c r="F135" s="41" t="str">
        <f>IF(AND(OR('2026-03'!E$112="-",'2026-03'!E$112=""),OR('2026-03'!E$113="-",'2026-03'!E$113="")),"-",IF(OR('2026-03'!E$112="-",'2026-03'!E$112=""),"",'2026-03'!E$112)&amp;IF(AND(NOT(OR('2026-03'!E$112="-",'2026-03'!E$112="")),NOT(OR('2026-03'!E$113="-",'2026-03'!E$113=""))),", ","")&amp;IF(OR('2026-03'!E$113="-",'2026-03'!E$113=""),"",'2026-03'!E$113))</f>
        <v>0, 0</v>
      </c>
      <c r="G135" s="42" t="str">
        <f>IF(AND(OR('2026-03'!F$112="-",'2026-03'!F$112=""),OR('2026-03'!F$113="-",'2026-03'!F$113="")),"-",IF(OR('2026-03'!F$112="-",'2026-03'!F$112=""),"",'2026-03'!F$112)&amp;IF(AND(NOT(OR('2026-03'!F$112="-",'2026-03'!F$112="")),NOT(OR('2026-03'!F$113="-",'2026-03'!F$113=""))),", ","")&amp;IF(OR('2026-03'!F$113="-",'2026-03'!F$113=""),"",'2026-03'!F$113))</f>
        <v>0, 0</v>
      </c>
      <c r="H135" s="42" t="str">
        <f>IF(AND(OR('2026-03'!G$112="-",'2026-03'!G$112=""),OR('2026-03'!G$113="-",'2026-03'!G$113="")),"-",IF(OR('2026-03'!G$112="-",'2026-03'!G$112=""),"",'2026-03'!G$112)&amp;IF(AND(NOT(OR('2026-03'!G$112="-",'2026-03'!G$112="")),NOT(OR('2026-03'!G$113="-",'2026-03'!G$113=""))),", ","")&amp;IF(OR('2026-03'!G$113="-",'2026-03'!G$113=""),"",'2026-03'!G$113))</f>
        <v>0, 0</v>
      </c>
    </row>
    <row r="136" spans="1:8" x14ac:dyDescent="0.3">
      <c r="A136" s="29" t="s">
        <v>46</v>
      </c>
      <c r="B136" s="35"/>
      <c r="C136" s="35"/>
      <c r="D136" s="35"/>
      <c r="E136" s="35"/>
      <c r="F136" s="35"/>
      <c r="G136" s="39"/>
      <c r="H136" s="39"/>
    </row>
    <row r="137" spans="1:8" x14ac:dyDescent="0.3">
      <c r="A137" s="29" t="s">
        <v>47</v>
      </c>
      <c r="B137" s="35"/>
      <c r="C137" s="35"/>
      <c r="D137" s="35"/>
      <c r="E137" s="35"/>
      <c r="F137" s="35"/>
      <c r="G137" s="39"/>
      <c r="H137" s="39"/>
    </row>
    <row r="138" spans="1:8" x14ac:dyDescent="0.3">
      <c r="A138" s="29" t="s">
        <v>48</v>
      </c>
      <c r="B138" s="35"/>
      <c r="C138" s="35"/>
      <c r="D138" s="35"/>
      <c r="E138" s="35"/>
      <c r="F138" s="35"/>
      <c r="G138" s="39"/>
      <c r="H138" s="39"/>
    </row>
    <row r="139" spans="1:8" ht="115.2" x14ac:dyDescent="0.3">
      <c r="A139" s="29" t="s">
        <v>49</v>
      </c>
      <c r="B139" s="35" t="str" cm="1">
        <f t="array" ref="B139">_xlfn.LET(
  _xlpm.all, עובדים!$A$1:$A$28,
  _xlpm.listed, IFERROR(TRIM(_xlfn.TEXTSPLIT(_xlfn.TEXTJOIN(",",TRUE, B108:B110, B116:B138),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39" s="35" t="str" cm="1">
        <f t="array" ref="C139">_xlfn.LET(
  _xlpm.all, עובדים!$A$1:$A$28,
  _xlpm.listed, IFERROR(TRIM(_xlfn.TEXTSPLIT(_xlfn.TEXTJOIN(",",TRUE, C108:C110, C116:C138),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39" s="35" t="str" cm="1">
        <f t="array" ref="D139">_xlfn.LET(
  _xlpm.all, עובדים!$A$1:$A$28,
  _xlpm.listed, IFERROR(TRIM(_xlfn.TEXTSPLIT(_xlfn.TEXTJOIN(",",TRUE, D108:D110, D116:D138),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39" s="35" t="str" cm="1">
        <f t="array" ref="E139">_xlfn.LET(
  _xlpm.all, עובדים!$A$1:$A$28,
  _xlpm.listed, IFERROR(TRIM(_xlfn.TEXTSPLIT(_xlfn.TEXTJOIN(",",TRUE, E108:E110, E116:E138),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39" s="35" t="str" cm="1">
        <f t="array" ref="F139">_xlfn.LET(
  _xlpm.all, עובדים!$A$1:$A$28,
  _xlpm.listed, IFERROR(TRIM(_xlfn.TEXTSPLIT(_xlfn.TEXTJOIN(",",TRUE, F108:F110, F116:F138),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39" s="39" t="str" cm="1">
        <f t="array" ref="G139">_xlfn.LET(
  _xlpm.all, עובדים!$A$1:$A$28,
  _xlpm.listed, IFERROR(TRIM(_xlfn.TEXTSPLIT(_xlfn.TEXTJOIN(",",TRUE, G108:G110, G116:G138),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39" s="39" t="str" cm="1">
        <f t="array" ref="H139">_xlfn.LET(
  _xlpm.all, עובדים!$A$1:$A$28,
  _xlpm.listed, IFERROR(TRIM(_xlfn.TEXTSPLIT(_xlfn.TEXTJOIN(",",TRUE, H108:H110, H116:H138),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40" spans="1:8" x14ac:dyDescent="0.3">
      <c r="B140" s="49"/>
      <c r="C140" s="49"/>
      <c r="D140" s="49"/>
      <c r="E140" s="49"/>
      <c r="F140" s="49"/>
      <c r="G140" s="49"/>
      <c r="H140" s="49"/>
    </row>
    <row r="141" spans="1:8" x14ac:dyDescent="0.3">
      <c r="A141" s="27"/>
      <c r="B141" s="45"/>
      <c r="C141" s="45"/>
      <c r="D141" s="45"/>
      <c r="E141" s="54"/>
      <c r="F141" s="54"/>
      <c r="G141" s="50"/>
      <c r="H141" s="50"/>
    </row>
    <row r="142" spans="1:8" x14ac:dyDescent="0.3">
      <c r="A142" s="1" t="s">
        <v>0</v>
      </c>
      <c r="B142" s="47"/>
      <c r="C142" s="47"/>
      <c r="D142" s="47"/>
      <c r="E142" s="55"/>
      <c r="F142" s="55"/>
      <c r="G142" s="51"/>
      <c r="H142" s="51"/>
    </row>
    <row r="143" spans="1:8" x14ac:dyDescent="0.3">
      <c r="A143" s="29" t="s">
        <v>1</v>
      </c>
      <c r="B143" s="37"/>
      <c r="C143" s="37"/>
      <c r="D143" s="35"/>
      <c r="E143" s="37"/>
      <c r="F143" s="37"/>
      <c r="G143" s="38"/>
      <c r="H143" s="38"/>
    </row>
    <row r="144" spans="1:8" x14ac:dyDescent="0.3">
      <c r="A144" s="29" t="s">
        <v>7</v>
      </c>
      <c r="B144" s="35" t="s">
        <v>9</v>
      </c>
      <c r="C144" s="35"/>
      <c r="D144" s="35"/>
      <c r="E144" s="37"/>
      <c r="F144" s="37"/>
      <c r="G144" s="38"/>
      <c r="H144" s="38"/>
    </row>
    <row r="145" spans="1:8" x14ac:dyDescent="0.3">
      <c r="A145" s="29" t="s">
        <v>8</v>
      </c>
      <c r="B145" s="35"/>
      <c r="C145" s="35"/>
      <c r="D145" s="35"/>
      <c r="E145" s="37"/>
      <c r="F145" s="37"/>
      <c r="G145" s="38"/>
      <c r="H145" s="38"/>
    </row>
    <row r="146" spans="1:8" x14ac:dyDescent="0.3">
      <c r="A146" s="29" t="s">
        <v>78</v>
      </c>
      <c r="B146" s="35" t="s">
        <v>9</v>
      </c>
      <c r="C146" s="35"/>
      <c r="D146" s="35"/>
      <c r="E146" s="37"/>
      <c r="F146" s="37"/>
      <c r="G146" s="38"/>
      <c r="H146" s="38"/>
    </row>
    <row r="147" spans="1:8" x14ac:dyDescent="0.3">
      <c r="A147" s="29" t="s">
        <v>12</v>
      </c>
      <c r="B147" s="41">
        <f>IFERROR(_xlfn.XLOOKUP(B$142, תורנויות!$B:$B, תורנויות!$D:$D, ""), "")</f>
        <v>0</v>
      </c>
      <c r="C147" s="41">
        <f>IFERROR(_xlfn.XLOOKUP(C$142, תורנויות!$B:$B, תורנויות!$D:$D, ""), "")</f>
        <v>0</v>
      </c>
      <c r="D147" s="41">
        <f>IFERROR(_xlfn.XLOOKUP(D$142, תורנויות!$B:$B, תורנויות!$D:$D, ""), "")</f>
        <v>0</v>
      </c>
      <c r="E147" s="37"/>
      <c r="F147" s="37"/>
      <c r="G147" s="38"/>
      <c r="H147" s="38"/>
    </row>
    <row r="148" spans="1:8" x14ac:dyDescent="0.3">
      <c r="A148" s="29" t="s">
        <v>18</v>
      </c>
      <c r="B148" s="41">
        <f>IFERROR(_xlfn.XLOOKUP(B$142, תורנויות!$B:$B, תורנויות!$E:$E, ""), "")</f>
        <v>0</v>
      </c>
      <c r="C148" s="41">
        <f>IFERROR(_xlfn.XLOOKUP(C$142, תורנויות!$B:$B, תורנויות!$E:$E, ""), "")</f>
        <v>0</v>
      </c>
      <c r="D148" s="41">
        <f>IFERROR(_xlfn.XLOOKUP(D$142, תורנויות!$B:$B, תורנויות!$E:$E, ""), "")</f>
        <v>0</v>
      </c>
      <c r="E148" s="37"/>
      <c r="F148" s="37"/>
      <c r="G148" s="38"/>
      <c r="H148" s="38"/>
    </row>
    <row r="149" spans="1:8" x14ac:dyDescent="0.3">
      <c r="A149" s="29" t="s">
        <v>20</v>
      </c>
      <c r="B149" s="35">
        <f>IFERROR(_xlfn.XLOOKUP(B$142, תורנויות!$B:$B, תורנויות!$F:$F, ""), "")</f>
        <v>0</v>
      </c>
      <c r="C149" s="35">
        <f>IFERROR(_xlfn.XLOOKUP(C$142, תורנויות!$B:$B, תורנויות!$F:$F, ""), "")</f>
        <v>0</v>
      </c>
      <c r="D149" s="35">
        <f>IFERROR(_xlfn.XLOOKUP(D$142, תורנויות!$B:$B, תורנויות!$F:$F, ""), "")</f>
        <v>0</v>
      </c>
      <c r="E149" s="37"/>
      <c r="F149" s="37"/>
      <c r="G149" s="38"/>
      <c r="H149" s="38"/>
    </row>
    <row r="150" spans="1:8" x14ac:dyDescent="0.3">
      <c r="A150" s="29" t="s">
        <v>77</v>
      </c>
      <c r="B150" s="35" t="s">
        <v>9</v>
      </c>
      <c r="C150" s="35"/>
      <c r="D150" s="35"/>
      <c r="E150" s="37"/>
      <c r="F150" s="37"/>
      <c r="G150" s="38"/>
      <c r="H150" s="38"/>
    </row>
    <row r="151" spans="1:8" x14ac:dyDescent="0.3">
      <c r="A151" s="29" t="s">
        <v>22</v>
      </c>
      <c r="B151" s="35"/>
      <c r="C151" s="35"/>
      <c r="D151" s="35"/>
      <c r="E151" s="37"/>
      <c r="F151" s="37"/>
      <c r="G151" s="38"/>
      <c r="H151" s="38"/>
    </row>
    <row r="152" spans="1:8" x14ac:dyDescent="0.3">
      <c r="A152" s="29" t="s">
        <v>24</v>
      </c>
      <c r="B152" s="35"/>
      <c r="C152" s="35"/>
      <c r="D152" s="35"/>
      <c r="E152" s="37"/>
      <c r="F152" s="37"/>
      <c r="G152" s="38"/>
      <c r="H152" s="38"/>
    </row>
    <row r="153" spans="1:8" x14ac:dyDescent="0.3">
      <c r="A153" s="29" t="s">
        <v>25</v>
      </c>
      <c r="B153" s="35"/>
      <c r="C153" s="35"/>
      <c r="D153" s="35"/>
      <c r="E153" s="37"/>
      <c r="F153" s="37"/>
      <c r="G153" s="38"/>
      <c r="H153" s="38"/>
    </row>
    <row r="154" spans="1:8" x14ac:dyDescent="0.3">
      <c r="A154" s="29" t="s">
        <v>73</v>
      </c>
      <c r="B154" s="35"/>
      <c r="C154" s="35"/>
      <c r="D154" s="35"/>
      <c r="E154" s="37"/>
      <c r="F154" s="37"/>
      <c r="G154" s="38"/>
      <c r="H154" s="38"/>
    </row>
    <row r="155" spans="1:8" x14ac:dyDescent="0.3">
      <c r="A155" s="29" t="s">
        <v>26</v>
      </c>
      <c r="B155" s="35"/>
      <c r="C155" s="35"/>
      <c r="D155" s="35"/>
      <c r="E155" s="37"/>
      <c r="F155" s="37"/>
      <c r="G155" s="38"/>
      <c r="H155" s="38"/>
    </row>
    <row r="156" spans="1:8" x14ac:dyDescent="0.3">
      <c r="A156" s="29" t="s">
        <v>27</v>
      </c>
      <c r="B156" s="35"/>
      <c r="C156" s="35"/>
      <c r="D156" s="35"/>
      <c r="E156" s="37"/>
      <c r="F156" s="37"/>
      <c r="G156" s="38"/>
      <c r="H156" s="38"/>
    </row>
    <row r="157" spans="1:8" x14ac:dyDescent="0.3">
      <c r="A157" s="29" t="s">
        <v>28</v>
      </c>
      <c r="B157" s="35"/>
      <c r="C157" s="35"/>
      <c r="D157" s="35"/>
      <c r="E157" s="37"/>
      <c r="F157" s="37"/>
      <c r="G157" s="38"/>
      <c r="H157" s="38"/>
    </row>
    <row r="158" spans="1:8" x14ac:dyDescent="0.3">
      <c r="A158" s="29" t="s">
        <v>29</v>
      </c>
      <c r="B158" s="35"/>
      <c r="C158" s="35"/>
      <c r="D158" s="35"/>
      <c r="E158" s="37"/>
      <c r="F158" s="37"/>
      <c r="G158" s="38"/>
      <c r="H158" s="38"/>
    </row>
    <row r="159" spans="1:8" x14ac:dyDescent="0.3">
      <c r="A159" s="29" t="s">
        <v>30</v>
      </c>
      <c r="B159" s="35"/>
      <c r="C159" s="35"/>
      <c r="D159" s="35"/>
      <c r="E159" s="37"/>
      <c r="F159" s="37"/>
      <c r="G159" s="38"/>
      <c r="H159" s="38"/>
    </row>
    <row r="160" spans="1:8" x14ac:dyDescent="0.3">
      <c r="A160" s="29" t="s">
        <v>31</v>
      </c>
      <c r="B160" s="35"/>
      <c r="C160" s="35"/>
      <c r="D160" s="35"/>
      <c r="E160" s="37"/>
      <c r="F160" s="37"/>
      <c r="G160" s="38"/>
      <c r="H160" s="38"/>
    </row>
    <row r="161" spans="1:8" x14ac:dyDescent="0.3">
      <c r="A161" s="29" t="s">
        <v>33</v>
      </c>
      <c r="B161" s="35"/>
      <c r="C161" s="35"/>
      <c r="D161" s="35"/>
      <c r="E161" s="37"/>
      <c r="F161" s="37"/>
      <c r="G161" s="38"/>
      <c r="H161" s="38"/>
    </row>
    <row r="162" spans="1:8" x14ac:dyDescent="0.3">
      <c r="A162" s="29" t="s">
        <v>35</v>
      </c>
      <c r="B162" s="35"/>
      <c r="C162" s="35"/>
      <c r="D162" s="35"/>
      <c r="E162" s="37"/>
      <c r="F162" s="37"/>
      <c r="G162" s="38"/>
      <c r="H162" s="38"/>
    </row>
    <row r="163" spans="1:8" x14ac:dyDescent="0.3">
      <c r="A163" s="29" t="s">
        <v>37</v>
      </c>
      <c r="B163" s="35"/>
      <c r="C163" s="35"/>
      <c r="D163" s="35"/>
      <c r="E163" s="37"/>
      <c r="F163" s="37"/>
      <c r="G163" s="38"/>
      <c r="H163" s="38"/>
    </row>
    <row r="164" spans="1:8" x14ac:dyDescent="0.3">
      <c r="A164" s="29" t="s">
        <v>38</v>
      </c>
      <c r="B164" s="35"/>
      <c r="C164" s="35"/>
      <c r="D164" s="35"/>
      <c r="E164" s="37"/>
      <c r="F164" s="37"/>
      <c r="G164" s="38"/>
      <c r="H164" s="38"/>
    </row>
    <row r="165" spans="1:8" x14ac:dyDescent="0.3">
      <c r="A165" s="29" t="s">
        <v>39</v>
      </c>
      <c r="B165" s="35"/>
      <c r="C165" s="35"/>
      <c r="D165" s="35"/>
      <c r="E165" s="37"/>
      <c r="F165" s="37"/>
      <c r="G165" s="38"/>
      <c r="H165" s="38"/>
    </row>
    <row r="166" spans="1:8" x14ac:dyDescent="0.3">
      <c r="A166" s="29" t="s">
        <v>40</v>
      </c>
      <c r="B166" s="35"/>
      <c r="C166" s="35"/>
      <c r="D166" s="35"/>
      <c r="E166" s="37"/>
      <c r="F166" s="37"/>
      <c r="G166" s="38"/>
      <c r="H166" s="38"/>
    </row>
    <row r="167" spans="1:8" x14ac:dyDescent="0.3">
      <c r="A167" s="29" t="s">
        <v>41</v>
      </c>
      <c r="B167" s="35"/>
      <c r="C167" s="35"/>
      <c r="D167" s="35"/>
      <c r="E167" s="37"/>
      <c r="F167" s="37"/>
      <c r="G167" s="38"/>
      <c r="H167" s="38"/>
    </row>
    <row r="168" spans="1:8" x14ac:dyDescent="0.3">
      <c r="A168" s="29" t="s">
        <v>43</v>
      </c>
      <c r="B168" s="35"/>
      <c r="C168" s="35"/>
      <c r="D168" s="35"/>
      <c r="E168" s="37"/>
      <c r="F168" s="37"/>
      <c r="G168" s="38"/>
      <c r="H168" s="38"/>
    </row>
    <row r="169" spans="1:8" x14ac:dyDescent="0.3">
      <c r="A169" s="29" t="s">
        <v>44</v>
      </c>
      <c r="B169" s="35"/>
      <c r="C169" s="35"/>
      <c r="D169" s="35"/>
      <c r="E169" s="37"/>
      <c r="F169" s="37"/>
      <c r="G169" s="38"/>
      <c r="H169" s="38"/>
    </row>
    <row r="170" spans="1:8" x14ac:dyDescent="0.3">
      <c r="A170" s="29" t="s">
        <v>45</v>
      </c>
      <c r="B170" s="41" t="str">
        <f>IF(AND(OR('2026-03'!H$112="-",'2026-03'!H$112=""),OR('2026-03'!H$113="-",'2026-03'!H$113="")),"-",IF(OR('2026-03'!H$112="-",'2026-03'!H$112=""),"",'2026-03'!H$112)&amp;IF(AND(NOT(OR('2026-03'!H$112="-",'2026-03'!H$112="")),NOT(OR('2026-03'!H$113="-",'2026-03'!H$113=""))),", ","")&amp;IF(OR('2026-03'!H$113="-",'2026-03'!H$113=""),"",'2026-03'!H$113))</f>
        <v>0, 0</v>
      </c>
      <c r="C170" s="41" t="str">
        <f>IF(AND(OR('2026-03'!B$147="-",'2026-03'!B$147=""),OR('2026-03'!B$148="-",'2026-03'!B$148="")),"-",IF(OR('2026-03'!B$147="-",'2026-03'!B$147=""),"",'2026-03'!B$147)&amp;IF(AND(NOT(OR('2026-03'!B$147="-",'2026-03'!B$147="")),NOT(OR('2026-03'!B$148="-",'2026-03'!B$148=""))),", ","")&amp;IF(OR('2026-03'!B$148="-",'2026-03'!B$148=""),"",'2026-03'!B$148))</f>
        <v>0, 0</v>
      </c>
      <c r="D170" s="41" t="str">
        <f>IF(AND(OR('2026-03'!C$147="-",'2026-03'!C$147=""),OR('2026-03'!C$148="-",'2026-03'!C$148="")),"-",IF(OR('2026-03'!C$147="-",'2026-03'!C$147=""),"",'2026-03'!C$147)&amp;IF(AND(NOT(OR('2026-03'!C$147="-",'2026-03'!C$147="")),NOT(OR('2026-03'!C$148="-",'2026-03'!C$148=""))),", ","")&amp;IF(OR('2026-03'!C$148="-",'2026-03'!C$148=""),"",'2026-03'!C$148))</f>
        <v>0, 0</v>
      </c>
      <c r="E170" s="37"/>
      <c r="F170" s="37"/>
      <c r="G170" s="38"/>
      <c r="H170" s="38"/>
    </row>
    <row r="171" spans="1:8" x14ac:dyDescent="0.3">
      <c r="A171" s="29" t="s">
        <v>46</v>
      </c>
      <c r="B171" s="35"/>
      <c r="C171" s="35"/>
      <c r="D171" s="35"/>
      <c r="E171" s="37"/>
      <c r="F171" s="37"/>
      <c r="G171" s="38"/>
      <c r="H171" s="38"/>
    </row>
    <row r="172" spans="1:8" x14ac:dyDescent="0.3">
      <c r="A172" s="29" t="s">
        <v>47</v>
      </c>
      <c r="B172" s="35"/>
      <c r="C172" s="35"/>
      <c r="D172" s="35"/>
      <c r="E172" s="37"/>
      <c r="F172" s="37"/>
      <c r="G172" s="38"/>
      <c r="H172" s="38"/>
    </row>
    <row r="173" spans="1:8" x14ac:dyDescent="0.3">
      <c r="A173" s="29" t="s">
        <v>48</v>
      </c>
      <c r="B173" s="35"/>
      <c r="C173" s="35"/>
      <c r="D173" s="35"/>
      <c r="E173" s="37"/>
      <c r="F173" s="37"/>
      <c r="G173" s="38"/>
      <c r="H173" s="38"/>
    </row>
    <row r="174" spans="1:8" ht="115.2" x14ac:dyDescent="0.3">
      <c r="A174" s="29" t="s">
        <v>49</v>
      </c>
      <c r="B174" s="35" t="str" cm="1">
        <f t="array" ref="B174">_xlfn.LET(
  _xlpm.all, עובדים!$A$1:$A$28,
  _xlpm.listed, IFERROR(TRIM(_xlfn.TEXTSPLIT(_xlfn.TEXTJOIN(",",TRUE, B143:B145, B151:B173),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74" s="35" t="str" cm="1">
        <f t="array" ref="C174">_xlfn.LET(
  _xlpm.all, עובדים!$A$1:$A$28,
  _xlpm.listed, IFERROR(TRIM(_xlfn.TEXTSPLIT(_xlfn.TEXTJOIN(",",TRUE, C143:C145, C151:C173),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74" s="35" t="str" cm="1">
        <f t="array" ref="D174">_xlfn.LET(
  _xlpm.all, עובדים!$A$1:$A$28,
  _xlpm.listed, IFERROR(TRIM(_xlfn.TEXTSPLIT(_xlfn.TEXTJOIN(",",TRUE, D143:D145, D151:D173),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74" s="37"/>
      <c r="F174" s="37"/>
      <c r="G174" s="38"/>
      <c r="H174" s="38"/>
    </row>
  </sheetData>
  <conditionalFormatting sqref="Q4:R22 S4:S11 J3:P22">
    <cfRule type="containsText" dxfId="11" priority="5" operator="containsText" text="~?">
      <formula>NOT(ISERROR(SEARCH("~?",J3)))</formula>
    </cfRule>
    <cfRule type="containsText" dxfId="10" priority="6" operator="containsText" text="~?">
      <formula>NOT(ISERROR(SEARCH("~?",J3)))</formula>
    </cfRule>
  </conditionalFormatting>
  <conditionalFormatting sqref="S12:S22">
    <cfRule type="containsText" dxfId="9" priority="3" operator="containsText" text="~?">
      <formula>NOT(ISERROR(SEARCH("~?",S12)))</formula>
    </cfRule>
    <cfRule type="containsText" dxfId="8" priority="4" operator="containsText" text="~?">
      <formula>NOT(ISERROR(SEARCH("~?",S12)))</formula>
    </cfRule>
  </conditionalFormatting>
  <pageMargins left="0.19685039370078741" right="0.31496062992125984" top="0.39370078740157483" bottom="0.19685039370078741" header="0.19685039370078741" footer="0.19685039370078741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34"/>
  <sheetViews>
    <sheetView rightToLeft="1" workbookViewId="0">
      <pane xSplit="1" ySplit="3" topLeftCell="B17" activePane="bottomRight" state="frozen"/>
      <selection pane="topRight"/>
      <selection pane="bottomLeft"/>
      <selection pane="bottomRight" activeCell="J19" sqref="J19"/>
    </sheetView>
  </sheetViews>
  <sheetFormatPr defaultRowHeight="14.4" x14ac:dyDescent="0.3"/>
  <cols>
    <col min="2" max="2" width="10.5546875" bestFit="1" customWidth="1"/>
    <col min="3" max="3" width="3.109375" bestFit="1" customWidth="1"/>
    <col min="4" max="4" width="8" bestFit="1" customWidth="1"/>
    <col min="5" max="5" width="16.5546875" customWidth="1"/>
    <col min="6" max="6" width="6.88671875" bestFit="1" customWidth="1"/>
    <col min="8" max="8" width="26.33203125" customWidth="1"/>
    <col min="9" max="9" width="8" bestFit="1" customWidth="1"/>
    <col min="10" max="10" width="5.109375" bestFit="1" customWidth="1"/>
    <col min="11" max="11" width="5.33203125" bestFit="1" customWidth="1"/>
    <col min="12" max="12" width="6.77734375" bestFit="1" customWidth="1"/>
    <col min="13" max="13" width="9.33203125" bestFit="1" customWidth="1"/>
    <col min="14" max="14" width="7.33203125" bestFit="1" customWidth="1"/>
    <col min="15" max="15" width="8.33203125" bestFit="1" customWidth="1"/>
    <col min="16" max="16" width="8.33203125" customWidth="1"/>
    <col min="17" max="17" width="5.21875" bestFit="1" customWidth="1"/>
    <col min="18" max="18" width="12.5546875" bestFit="1" customWidth="1"/>
  </cols>
  <sheetData>
    <row r="1" spans="2:18" ht="18" x14ac:dyDescent="0.3">
      <c r="C1" s="52" t="s">
        <v>51</v>
      </c>
      <c r="D1" s="53"/>
      <c r="E1" s="53"/>
    </row>
    <row r="2" spans="2:18" ht="15" thickBot="1" x14ac:dyDescent="0.35"/>
    <row r="3" spans="2:18" x14ac:dyDescent="0.3">
      <c r="B3" s="9" t="s">
        <v>52</v>
      </c>
      <c r="C3" s="10" t="s">
        <v>53</v>
      </c>
      <c r="D3" s="10" t="s">
        <v>54</v>
      </c>
      <c r="E3" s="10" t="s">
        <v>62</v>
      </c>
      <c r="F3" s="11" t="s">
        <v>55</v>
      </c>
      <c r="H3" s="34" t="s">
        <v>80</v>
      </c>
      <c r="R3" s="43" t="s">
        <v>79</v>
      </c>
    </row>
    <row r="4" spans="2:18" ht="43.2" x14ac:dyDescent="0.3">
      <c r="B4" s="12"/>
      <c r="C4" s="8"/>
      <c r="D4" s="44"/>
      <c r="E4" s="44"/>
      <c r="F4" s="13"/>
      <c r="H4" s="28" t="str" cm="1">
        <f t="array" ref="H4">_xlfn.LET(
  _xlpm.all_workers, _xlfn._xlws.FILTER($I$13:$I$23, $I$13:$I$23&lt;&gt;""),
  _xlpm.blocked_raw, IF(TRIM($R4)="", "", _xlfn.TEXTSPLIT($R4, ",")),
  _xlpm.blocked, IF(TRIM($R4)="", "", TRIM(_xlpm.blocked_raw)),
  _xlfn.TEXTJOIN(", ", TRUE, _xlfn._xlws.FILTER(_xlpm.all_workers, IF(TRIM($R4)="", TRUE, ISNA(MATCH(_xlpm.all_workers, _xlpm.blocked, 0)))))
)</f>
        <v>ארדשירוב, ברג, גלינסקיה, דקל, הסר, חדיג'ה, לקן, סעוב, עסלי, פריאנטה, שמואל</v>
      </c>
      <c r="I4" s="18"/>
      <c r="J4" s="19" t="s">
        <v>55</v>
      </c>
      <c r="K4" s="19" t="s">
        <v>54</v>
      </c>
      <c r="L4" s="19" t="s">
        <v>62</v>
      </c>
      <c r="M4" s="19" t="s">
        <v>63</v>
      </c>
      <c r="N4" s="19" t="s">
        <v>64</v>
      </c>
      <c r="O4" s="19" t="s">
        <v>65</v>
      </c>
      <c r="P4" s="19" t="s">
        <v>75</v>
      </c>
      <c r="Q4" s="19" t="s">
        <v>66</v>
      </c>
    </row>
    <row r="5" spans="2:18" ht="43.2" x14ac:dyDescent="0.3">
      <c r="B5" s="12"/>
      <c r="C5" s="8"/>
      <c r="D5" s="44"/>
      <c r="E5" s="44"/>
      <c r="F5" s="13"/>
      <c r="H5" s="28" t="str" cm="1">
        <f t="array" ref="H5">_xlfn.LET(
  _xlpm.all_workers, _xlfn._xlws.FILTER($I$13:$I$23, $I$13:$I$23&lt;&gt;""),
  _xlpm.blocked_raw, IF(TRIM($R5)="", "", _xlfn.TEXTSPLIT($R5, ",")),
  _xlpm.blocked, IF(TRIM($R5)="", "", TRIM(_xlpm.blocked_raw)),
  _xlfn.TEXTJOIN(", ", TRUE, _xlfn._xlws.FILTER(_xlpm.all_workers, IF(TRIM($R5)="", TRUE, ISNA(MATCH(_xlpm.all_workers, _xlpm.blocked, 0)))))
)</f>
        <v>ארדשירוב, ברג, גלינסקיה, דקל, הסר, חדיג'ה, לקן, סעוב, עסלי, פריאנטה, שמואל</v>
      </c>
      <c r="I5" s="20" t="s">
        <v>21</v>
      </c>
      <c r="J5" s="20" cm="1">
        <f t="array" ref="J5">_xlfn.LET(
  _xlpm.raw, _xlfn.TEXTSPLIT(_xlfn.TEXTJOIN(",",TRUE, F$4:F$34), ","),
  _xlpm.tokens, _xlfn._xlws.FILTER(TRIM(_xlpm.raw), TRIM(_xlpm.raw)&lt;&gt;""),
  IFERROR(SUMPRODUCT(--(_xlpm.tokens=$I5)), 0)
)</f>
        <v>0</v>
      </c>
      <c r="K5" s="17"/>
      <c r="L5" s="17"/>
      <c r="M5" s="21" cm="1">
        <f t="array" ref="M5">_xlfn.LET(
  _xlpm.raw, _xlfn.TEXTSPLIT(_xlfn.TEXTJOIN(",",TRUE, D$9:F$10, D$16:F$17, D$23:F$24, D$30:F$31, D$37:F$38), ","),
  _xlpm.tokens, _xlfn._xlws.FILTER(TRIM(_xlpm.raw), TRIM(_xlpm.raw)&lt;&gt;""),
  IFERROR(SUMPRODUCT(--(_xlpm.tokens=$I5)), 0)
)</f>
        <v>0</v>
      </c>
      <c r="N5" s="17"/>
      <c r="O5" s="17"/>
      <c r="P5" s="17"/>
      <c r="Q5" s="20">
        <f t="shared" ref="Q5:Q23" si="0">L5+K5+J5</f>
        <v>0</v>
      </c>
    </row>
    <row r="6" spans="2:18" ht="43.2" x14ac:dyDescent="0.3">
      <c r="B6" s="12"/>
      <c r="C6" s="8"/>
      <c r="D6" s="44"/>
      <c r="E6" s="44"/>
      <c r="F6" s="13"/>
      <c r="H6" s="28" t="str" cm="1">
        <f t="array" ref="H6">_xlfn.LET(
  _xlpm.all_workers, _xlfn._xlws.FILTER($I$13:$I$23, $I$13:$I$23&lt;&gt;""),
  _xlpm.blocked_raw, IF(TRIM($R6)="", "", _xlfn.TEXTSPLIT($R6, ",")),
  _xlpm.blocked, IF(TRIM($R6)="", "", TRIM(_xlpm.blocked_raw)),
  _xlfn.TEXTJOIN(", ", TRUE, _xlfn._xlws.FILTER(_xlpm.all_workers, IF(TRIM($R6)="", TRUE, ISNA(MATCH(_xlpm.all_workers, _xlpm.blocked, 0)))))
)</f>
        <v>ארדשירוב, ברג, גלינסקיה, דקל, הסר, חדיג'ה, לקן, סעוב, עסלי, פריאנטה, שמואל</v>
      </c>
      <c r="I6" s="20" t="s">
        <v>2</v>
      </c>
      <c r="J6" s="20" cm="1">
        <f t="array" ref="J6">_xlfn.LET(
  _xlpm.raw, _xlfn.TEXTSPLIT(_xlfn.TEXTJOIN(",",TRUE, F$4:F$34), ","),
  _xlpm.tokens, _xlfn._xlws.FILTER(TRIM(_xlpm.raw), TRIM(_xlpm.raw)&lt;&gt;""),
  IFERROR(SUMPRODUCT(--(_xlpm.tokens=$I6)), 0)
)</f>
        <v>0</v>
      </c>
      <c r="K6" s="17"/>
      <c r="L6" s="17"/>
      <c r="M6" s="21" cm="1">
        <f t="array" ref="M6">_xlfn.LET(
  _xlpm.raw, _xlfn.TEXTSPLIT(_xlfn.TEXTJOIN(",",TRUE, D$9:F$10, D$16:F$17, D$23:F$24, D$30:F$31, D$37:F$38), ","),
  _xlpm.tokens, _xlfn._xlws.FILTER(TRIM(_xlpm.raw), TRIM(_xlpm.raw)&lt;&gt;""),
  IFERROR(SUMPRODUCT(--(_xlpm.tokens=$I6)), 0)
)</f>
        <v>0</v>
      </c>
      <c r="N6" s="17"/>
      <c r="O6" s="17"/>
      <c r="P6" s="17"/>
      <c r="Q6" s="20">
        <f t="shared" si="0"/>
        <v>0</v>
      </c>
    </row>
    <row r="7" spans="2:18" ht="43.2" x14ac:dyDescent="0.3">
      <c r="B7" s="12"/>
      <c r="C7" s="8"/>
      <c r="D7" s="8"/>
      <c r="E7" s="8"/>
      <c r="F7" s="13"/>
      <c r="H7" s="28" t="str" cm="1">
        <f t="array" ref="H7">_xlfn.LET(
  _xlpm.all_workers, _xlfn._xlws.FILTER($I$13:$I$23, $I$13:$I$23&lt;&gt;""),
  _xlpm.blocked_raw, IF(TRIM($R7)="", "", _xlfn.TEXTSPLIT($R7, ",")),
  _xlpm.blocked, IF(TRIM($R7)="", "", TRIM(_xlpm.blocked_raw)),
  _xlfn.TEXTJOIN(", ", TRUE, _xlfn._xlws.FILTER(_xlpm.all_workers, IF(TRIM($R7)="", TRUE, ISNA(MATCH(_xlpm.all_workers, _xlpm.blocked, 0)))))
)</f>
        <v>ארדשירוב, ברג, גלינסקיה, דקל, הסר, חדיג'ה, לקן, סעוב, עסלי, פריאנטה, שמואל</v>
      </c>
      <c r="I7" s="20" t="s">
        <v>3</v>
      </c>
      <c r="J7" s="20" cm="1">
        <f t="array" ref="J7">_xlfn.LET(
  _xlpm.raw, _xlfn.TEXTSPLIT(_xlfn.TEXTJOIN(",",TRUE, F$4:F$34), ","),
  _xlpm.tokens, _xlfn._xlws.FILTER(TRIM(_xlpm.raw), TRIM(_xlpm.raw)&lt;&gt;""),
  IFERROR(SUMPRODUCT(--(_xlpm.tokens=$I7)), 0)
)</f>
        <v>0</v>
      </c>
      <c r="K7" s="17"/>
      <c r="L7" s="17"/>
      <c r="M7" s="21" cm="1">
        <f t="array" ref="M7">_xlfn.LET(
  _xlpm.raw, _xlfn.TEXTSPLIT(_xlfn.TEXTJOIN(",",TRUE, D$9:F$10, D$16:F$17, D$23:F$24, D$30:F$31, D$37:F$38), ","),
  _xlpm.tokens, _xlfn._xlws.FILTER(TRIM(_xlpm.raw), TRIM(_xlpm.raw)&lt;&gt;""),
  IFERROR(SUMPRODUCT(--(_xlpm.tokens=$I7)), 0)
)</f>
        <v>0</v>
      </c>
      <c r="N7" s="17"/>
      <c r="O7" s="17"/>
      <c r="P7" s="17"/>
      <c r="Q7" s="20">
        <f t="shared" si="0"/>
        <v>0</v>
      </c>
    </row>
    <row r="8" spans="2:18" ht="43.2" x14ac:dyDescent="0.3">
      <c r="B8" s="12"/>
      <c r="C8" s="8"/>
      <c r="D8" s="8"/>
      <c r="E8" s="8"/>
      <c r="F8" s="13"/>
      <c r="H8" s="28" t="str" cm="1">
        <f t="array" ref="H8">_xlfn.LET(
  _xlpm.all_workers, _xlfn._xlws.FILTER($I$13:$I$23, $I$13:$I$23&lt;&gt;""),
  _xlpm.blocked_raw, IF(TRIM($R8)="", "", _xlfn.TEXTSPLIT($R8, ",")),
  _xlpm.blocked, IF(TRIM($R8)="", "", TRIM(_xlpm.blocked_raw)),
  _xlfn.TEXTJOIN(", ", TRUE, _xlfn._xlws.FILTER(_xlpm.all_workers, IF(TRIM($R8)="", TRUE, ISNA(MATCH(_xlpm.all_workers, _xlpm.blocked, 0)))))
)</f>
        <v>ארדשירוב, ברג, גלינסקיה, דקל, הסר, חדיג'ה, לקן, סעוב, עסלי, פריאנטה, שמואל</v>
      </c>
      <c r="I8" s="20" t="s">
        <v>4</v>
      </c>
      <c r="J8" s="20" cm="1">
        <f t="array" ref="J8">_xlfn.LET(
  _xlpm.raw, _xlfn.TEXTSPLIT(_xlfn.TEXTJOIN(",",TRUE, F$4:F$34), ","),
  _xlpm.tokens, _xlfn._xlws.FILTER(TRIM(_xlpm.raw), TRIM(_xlpm.raw)&lt;&gt;""),
  IFERROR(SUMPRODUCT(--(_xlpm.tokens=$I8)), 0)
)</f>
        <v>0</v>
      </c>
      <c r="K8" s="17"/>
      <c r="L8" s="17"/>
      <c r="M8" s="21" cm="1">
        <f t="array" ref="M8">_xlfn.LET(
  _xlpm.raw, _xlfn.TEXTSPLIT(_xlfn.TEXTJOIN(",",TRUE, D$9:F$10, D$16:F$17, D$23:F$24, D$30:F$31, D$37:F$38), ","),
  _xlpm.tokens, _xlfn._xlws.FILTER(TRIM(_xlpm.raw), TRIM(_xlpm.raw)&lt;&gt;""),
  IFERROR(SUMPRODUCT(--(_xlpm.tokens=$I8)), 0)
)</f>
        <v>0</v>
      </c>
      <c r="N8" s="17"/>
      <c r="O8" s="17"/>
      <c r="P8" s="17"/>
      <c r="Q8" s="20">
        <f t="shared" si="0"/>
        <v>0</v>
      </c>
    </row>
    <row r="9" spans="2:18" ht="43.2" x14ac:dyDescent="0.3">
      <c r="B9" s="22"/>
      <c r="C9" s="23"/>
      <c r="D9" s="8"/>
      <c r="E9" s="23"/>
      <c r="F9" s="24"/>
      <c r="H9" s="28" t="str" cm="1">
        <f t="array" ref="H9">_xlfn.LET(
  _xlpm.all_workers, _xlfn._xlws.FILTER($I$13:$I$23, $I$13:$I$23&lt;&gt;""),
  _xlpm.blocked_raw, IF(TRIM($R9)="", "", _xlfn.TEXTSPLIT($R9, ",")),
  _xlpm.blocked, IF(TRIM($R9)="", "", TRIM(_xlpm.blocked_raw)),
  _xlfn.TEXTJOIN(", ", TRUE, _xlfn._xlws.FILTER(_xlpm.all_workers, IF(TRIM($R9)="", TRUE, ISNA(MATCH(_xlpm.all_workers, _xlpm.blocked, 0)))))
)</f>
        <v>ארדשירוב, ברג, גלינסקיה, דקל, הסר, חדיג'ה, לקן, סעוב, עסלי, פריאנטה, שמואל</v>
      </c>
      <c r="I9" s="20" t="s">
        <v>5</v>
      </c>
      <c r="J9" s="20" cm="1">
        <f t="array" ref="J9">_xlfn.LET(
  _xlpm.raw, _xlfn.TEXTSPLIT(_xlfn.TEXTJOIN(",",TRUE, F$4:F$34), ","),
  _xlpm.tokens, _xlfn._xlws.FILTER(TRIM(_xlpm.raw), TRIM(_xlpm.raw)&lt;&gt;""),
  IFERROR(SUMPRODUCT(--(_xlpm.tokens=$I9)), 0)
)</f>
        <v>0</v>
      </c>
      <c r="K9" s="17"/>
      <c r="L9" s="17"/>
      <c r="M9" s="21" cm="1">
        <f t="array" ref="M9">_xlfn.LET(
  _xlpm.raw, _xlfn.TEXTSPLIT(_xlfn.TEXTJOIN(",",TRUE, D$9:F$10, D$16:F$17, D$23:F$24, D$30:F$31, D$37:F$38), ","),
  _xlpm.tokens, _xlfn._xlws.FILTER(TRIM(_xlpm.raw), TRIM(_xlpm.raw)&lt;&gt;""),
  IFERROR(SUMPRODUCT(--(_xlpm.tokens=$I9)), 0)
)</f>
        <v>0</v>
      </c>
      <c r="N9" s="17"/>
      <c r="O9" s="17"/>
      <c r="P9" s="17"/>
      <c r="Q9" s="20">
        <f t="shared" si="0"/>
        <v>0</v>
      </c>
    </row>
    <row r="10" spans="2:18" ht="43.2" x14ac:dyDescent="0.3">
      <c r="B10" s="22"/>
      <c r="C10" s="23"/>
      <c r="D10" s="8"/>
      <c r="E10" s="8"/>
      <c r="F10" s="24"/>
      <c r="H10" s="28" t="str" cm="1">
        <f t="array" ref="H10">_xlfn.LET(
  _xlpm.all_workers, _xlfn._xlws.FILTER($I$13:$I$23, $I$13:$I$23&lt;&gt;""),
  _xlpm.blocked_raw, IF(TRIM($R10)="", "", _xlfn.TEXTSPLIT($R10, ",")),
  _xlpm.blocked, IF(TRIM($R10)="", "", TRIM(_xlpm.blocked_raw)),
  _xlfn.TEXTJOIN(", ", TRUE, _xlfn._xlws.FILTER(_xlpm.all_workers, IF(TRIM($R10)="", TRUE, ISNA(MATCH(_xlpm.all_workers, _xlpm.blocked, 0)))))
)</f>
        <v>ארדשירוב, ברג, גלינסקיה, דקל, הסר, חדיג'ה, לקן, סעוב, עסלי, פריאנטה, שמואל</v>
      </c>
      <c r="I10" s="20" t="s">
        <v>6</v>
      </c>
      <c r="J10" s="20" cm="1">
        <f t="array" ref="J10">_xlfn.LET(
  _xlpm.raw, _xlfn.TEXTSPLIT(_xlfn.TEXTJOIN(",",TRUE, F$4:F$34), ","),
  _xlpm.tokens, _xlfn._xlws.FILTER(TRIM(_xlpm.raw), TRIM(_xlpm.raw)&lt;&gt;""),
  IFERROR(SUMPRODUCT(--(_xlpm.tokens=$I10)), 0)
)</f>
        <v>0</v>
      </c>
      <c r="K10" s="17"/>
      <c r="L10" s="17"/>
      <c r="M10" s="21" cm="1">
        <f t="array" ref="M10">_xlfn.LET(
  _xlpm.raw, _xlfn.TEXTSPLIT(_xlfn.TEXTJOIN(",",TRUE, D$9:F$10, D$16:F$17, D$23:F$24, D$30:F$31, D$37:F$38), ","),
  _xlpm.tokens, _xlfn._xlws.FILTER(TRIM(_xlpm.raw), TRIM(_xlpm.raw)&lt;&gt;""),
  IFERROR(SUMPRODUCT(--(_xlpm.tokens=$I10)), 0)
)</f>
        <v>0</v>
      </c>
      <c r="N10" s="17"/>
      <c r="O10" s="17"/>
      <c r="P10" s="17"/>
      <c r="Q10" s="20">
        <f t="shared" si="0"/>
        <v>0</v>
      </c>
    </row>
    <row r="11" spans="2:18" ht="43.2" x14ac:dyDescent="0.3">
      <c r="B11" s="22"/>
      <c r="C11" s="23"/>
      <c r="D11" s="23"/>
      <c r="E11" s="23"/>
      <c r="F11" s="24"/>
      <c r="H11" s="28" t="str" cm="1">
        <f t="array" ref="H11">_xlfn.LET(
  _xlpm.all_workers, _xlfn._xlws.FILTER($I$13:$I$23, $I$13:$I$23&lt;&gt;""),
  _xlpm.blocked_raw, IF(TRIM($R11)="", "", _xlfn.TEXTSPLIT($R11, ",")),
  _xlpm.blocked, IF(TRIM($R11)="", "", TRIM(_xlpm.blocked_raw)),
  _xlfn.TEXTJOIN(", ", TRUE, _xlfn._xlws.FILTER(_xlpm.all_workers, IF(TRIM($R11)="", TRUE, ISNA(MATCH(_xlpm.all_workers, _xlpm.blocked, 0)))))
)</f>
        <v>ארדשירוב, ברג, גלינסקיה, דקל, הסר, חדיג'ה, לקן, סעוב, עסלי, פריאנטה, שמואל</v>
      </c>
      <c r="I11" s="20" t="s">
        <v>34</v>
      </c>
      <c r="J11" s="20" cm="1">
        <f t="array" ref="J11">_xlfn.LET(
  _xlpm.raw, _xlfn.TEXTSPLIT(_xlfn.TEXTJOIN(",",TRUE, F$4:F$34), ","),
  _xlpm.tokens, _xlfn._xlws.FILTER(TRIM(_xlpm.raw), TRIM(_xlpm.raw)&lt;&gt;""),
  IFERROR(SUMPRODUCT(--(_xlpm.tokens=$I11)), 0)
)</f>
        <v>0</v>
      </c>
      <c r="K11" s="17"/>
      <c r="L11" s="17"/>
      <c r="M11" s="21" cm="1">
        <f t="array" ref="M11">_xlfn.LET(
  _xlpm.raw, _xlfn.TEXTSPLIT(_xlfn.TEXTJOIN(",",TRUE, D$9:F$10, D$16:F$17, D$23:F$24, D$30:F$31, D$37:F$38), ","),
  _xlpm.tokens, _xlfn._xlws.FILTER(TRIM(_xlpm.raw), TRIM(_xlpm.raw)&lt;&gt;""),
  IFERROR(SUMPRODUCT(--(_xlpm.tokens=$I11)), 0)
)</f>
        <v>0</v>
      </c>
      <c r="N11" s="17"/>
      <c r="O11" s="17"/>
      <c r="P11" s="17"/>
      <c r="Q11" s="20">
        <f t="shared" si="0"/>
        <v>0</v>
      </c>
    </row>
    <row r="12" spans="2:18" ht="43.2" x14ac:dyDescent="0.3">
      <c r="B12" s="22"/>
      <c r="C12" s="23"/>
      <c r="D12" s="23"/>
      <c r="E12" s="23"/>
      <c r="F12" s="24"/>
      <c r="H12" s="28" t="str" cm="1">
        <f t="array" ref="H12">_xlfn.LET(
  _xlpm.all_workers, _xlfn._xlws.FILTER($I$13:$I$23, $I$13:$I$23&lt;&gt;""),
  _xlpm.blocked_raw, IF(TRIM($R12)="", "", _xlfn.TEXTSPLIT($R12, ",")),
  _xlpm.blocked, IF(TRIM($R12)="", "", TRIM(_xlpm.blocked_raw)),
  _xlfn.TEXTJOIN(", ", TRUE, _xlfn._xlws.FILTER(_xlpm.all_workers, IF(TRIM($R12)="", TRUE, ISNA(MATCH(_xlpm.all_workers, _xlpm.blocked, 0)))))
)</f>
        <v>ארדשירוב, ברג, גלינסקיה, דקל, הסר, חדיג'ה, לקן, סעוב, עסלי, פריאנטה, שמואל</v>
      </c>
      <c r="I12" s="20" t="s">
        <v>32</v>
      </c>
      <c r="J12" s="20" cm="1">
        <f t="array" ref="J12">_xlfn.LET(
  _xlpm.raw, _xlfn.TEXTSPLIT(_xlfn.TEXTJOIN(",",TRUE, F$4:F$34), ","),
  _xlpm.tokens, _xlfn._xlws.FILTER(TRIM(_xlpm.raw), TRIM(_xlpm.raw)&lt;&gt;""),
  IFERROR(SUMPRODUCT(--(_xlpm.tokens=$I12)), 0)
)</f>
        <v>0</v>
      </c>
      <c r="K12" s="17"/>
      <c r="L12" s="17"/>
      <c r="M12" s="21" cm="1">
        <f t="array" ref="M12">_xlfn.LET(
  _xlpm.raw, _xlfn.TEXTSPLIT(_xlfn.TEXTJOIN(",",TRUE, D$9:F$10, D$16:F$17, D$23:F$24, D$30:F$31, D$37:F$38), ","),
  _xlpm.tokens, _xlfn._xlws.FILTER(TRIM(_xlpm.raw), TRIM(_xlpm.raw)&lt;&gt;""),
  IFERROR(SUMPRODUCT(--(_xlpm.tokens=$I12)), 0)
)</f>
        <v>0</v>
      </c>
      <c r="N12" s="17"/>
      <c r="O12" s="17"/>
      <c r="P12" s="17"/>
      <c r="Q12" s="20">
        <f t="shared" si="0"/>
        <v>0</v>
      </c>
    </row>
    <row r="13" spans="2:18" ht="43.2" x14ac:dyDescent="0.3">
      <c r="B13" s="22"/>
      <c r="C13" s="23"/>
      <c r="D13" s="23"/>
      <c r="E13" s="23"/>
      <c r="F13" s="24"/>
      <c r="H13" s="28" t="str" cm="1">
        <f t="array" ref="H13">_xlfn.LET(
  _xlpm.all_workers, _xlfn._xlws.FILTER($I$13:$I$23, $I$13:$I$23&lt;&gt;""),
  _xlpm.blocked_raw, IF(TRIM($R13)="", "", _xlfn.TEXTSPLIT($R13, ",")),
  _xlpm.blocked, IF(TRIM($R13)="", "", TRIM(_xlpm.blocked_raw)),
  _xlfn.TEXTJOIN(", ", TRUE, _xlfn._xlws.FILTER(_xlpm.all_workers, IF(TRIM($R13)="", TRUE, ISNA(MATCH(_xlpm.all_workers, _xlpm.blocked, 0)))))
)</f>
        <v>ארדשירוב, ברג, גלינסקיה, דקל, הסר, חדיג'ה, לקן, סעוב, עסלי, פריאנטה, שמואל</v>
      </c>
      <c r="I13" s="21" t="s">
        <v>10</v>
      </c>
      <c r="J13" s="17"/>
      <c r="K13" s="21" cm="1">
        <f t="array" ref="K13">_xlfn.LET(
  _xlpm.raw, _xlfn.TEXTSPLIT(_xlfn.TEXTJOIN(",",TRUE, D$3:D$34), ","),
  _xlpm.tokens, _xlfn._xlws.FILTER(TRIM(_xlpm.raw), TRIM(_xlpm.raw)&lt;&gt;""),
  IFERROR(SUMPRODUCT(--(_xlpm.tokens=$I13)), 0)
)</f>
        <v>0</v>
      </c>
      <c r="L13" s="21" cm="1">
        <f t="array" ref="L13">_xlfn.LET(
  _xlpm.raw, _xlfn.TEXTSPLIT(_xlfn.TEXTJOIN(",",TRUE, E$4:E$34), ","),
  _xlpm.tokens, _xlfn._xlws.FILTER(TRIM(_xlpm.raw), TRIM(_xlpm.raw)&lt;&gt;""),
  IFERROR(SUMPRODUCT(--(_xlpm.tokens=$I13)), 0)
)</f>
        <v>0</v>
      </c>
      <c r="M13" s="21" cm="1">
        <f t="array" ref="M13">_xlfn.LET(
  _xlpm.raw, _xlfn.TEXTSPLIT(_xlfn.TEXTJOIN(",",TRUE, D$9:F$10, D$16:F$17, D$23:F$24, D$30:F$31, D$37:F$38), ","),
  _xlpm.tokens, _xlfn._xlws.FILTER(TRIM(_xlpm.raw), TRIM(_xlpm.raw)&lt;&gt;""),
  IFERROR(SUMPRODUCT(--(_xlpm.tokens=$I13)), 0)
)</f>
        <v>0</v>
      </c>
      <c r="N13" s="21" cm="1">
        <f t="array" ref="N13">_xlfn.LET(
  _xlpm.raw, _xlfn.TEXTSPLIT(_xlfn.TEXTJOIN(",",TRUE, D$7:E$7, D$14:E$14, D$21:E$21, D$28:E$28, D$35:E$35), ","),
  _xlpm.tokens, _xlfn._xlws.FILTER(TRIM(_xlpm.raw), TRIM(_xlpm.raw)&lt;&gt;""),
  IFERROR(SUMPRODUCT(--(_xlpm.tokens=$I13)), 0)
)</f>
        <v>0</v>
      </c>
      <c r="O13" s="21" cm="1">
        <f t="array" ref="O13">_xlfn.LET(
  _xlpm.raw, _xlfn.TEXTSPLIT(_xlfn.TEXTJOIN(",",TRUE, D$8:E$8, D$15:E$15, D$22:E$22, D$29:E$29, D$36:E$36), ","),
  _xlpm.tokens, _xlfn._xlws.FILTER(TRIM(_xlpm.raw), TRIM(_xlpm.raw)&lt;&gt;""),
  IFERROR(SUMPRODUCT(--(_xlpm.tokens=$I13)), 0)
)</f>
        <v>0</v>
      </c>
      <c r="P13" s="21" cm="1">
        <f t="array" ref="P13">SUMPRODUCT(
    SIGN(($D$4:$D$32=I13)+($E$4:$E$32=I13)) * (1-SIGN(($D$5:$D$33=I13)+($E$5:$E$33=I13))) * SIGN(($D$6:$D$34=I13)+($E$6:$E$34=I13))
)</f>
        <v>0</v>
      </c>
      <c r="Q13" s="21">
        <f t="shared" si="0"/>
        <v>0</v>
      </c>
    </row>
    <row r="14" spans="2:18" ht="43.2" x14ac:dyDescent="0.3">
      <c r="B14" s="22"/>
      <c r="C14" s="23"/>
      <c r="D14" s="23"/>
      <c r="E14" s="23"/>
      <c r="F14" s="24"/>
      <c r="H14" s="28" t="str" cm="1">
        <f t="array" ref="H14">_xlfn.LET(
  _xlpm.all_workers, _xlfn._xlws.FILTER($I$13:$I$23, $I$13:$I$23&lt;&gt;""),
  _xlpm.blocked_raw, IF(TRIM($R14)="", "", _xlfn.TEXTSPLIT($R14, ",")),
  _xlpm.blocked, IF(TRIM($R14)="", "", TRIM(_xlpm.blocked_raw)),
  _xlfn.TEXTJOIN(", ", TRUE, _xlfn._xlws.FILTER(_xlpm.all_workers, IF(TRIM($R14)="", TRUE, ISNA(MATCH(_xlpm.all_workers, _xlpm.blocked, 0)))))
)</f>
        <v>ארדשירוב, ברג, גלינסקיה, דקל, הסר, חדיג'ה, לקן, סעוב, עסלי, פריאנטה, שמואל</v>
      </c>
      <c r="I14" s="21" t="s">
        <v>23</v>
      </c>
      <c r="J14" s="17"/>
      <c r="K14" s="21" cm="1">
        <f t="array" ref="K14">_xlfn.LET(
  _xlpm.raw, _xlfn.TEXTSPLIT(_xlfn.TEXTJOIN(",",TRUE, D$3:D$34), ","),
  _xlpm.tokens, _xlfn._xlws.FILTER(TRIM(_xlpm.raw), TRIM(_xlpm.raw)&lt;&gt;""),
  IFERROR(SUMPRODUCT(--(_xlpm.tokens=$I14)), 0)
)</f>
        <v>0</v>
      </c>
      <c r="L14" s="21" cm="1">
        <f t="array" ref="L14">_xlfn.LET(
  _xlpm.raw, _xlfn.TEXTSPLIT(_xlfn.TEXTJOIN(",",TRUE, E$4:E$34), ","),
  _xlpm.tokens, _xlfn._xlws.FILTER(TRIM(_xlpm.raw), TRIM(_xlpm.raw)&lt;&gt;""),
  IFERROR(SUMPRODUCT(--(_xlpm.tokens=$I14)), 0)
)</f>
        <v>0</v>
      </c>
      <c r="M14" s="21" cm="1">
        <f t="array" ref="M14">_xlfn.LET(
  _xlpm.raw, _xlfn.TEXTSPLIT(_xlfn.TEXTJOIN(",",TRUE, D$9:F$10, D$16:F$17, D$23:F$24, D$30:F$31, D$37:F$38), ","),
  _xlpm.tokens, _xlfn._xlws.FILTER(TRIM(_xlpm.raw), TRIM(_xlpm.raw)&lt;&gt;""),
  IFERROR(SUMPRODUCT(--(_xlpm.tokens=$I14)), 0)
)</f>
        <v>0</v>
      </c>
      <c r="N14" s="21" cm="1">
        <f t="array" ref="N14">_xlfn.LET(
  _xlpm.raw, _xlfn.TEXTSPLIT(_xlfn.TEXTJOIN(",",TRUE, D$7:E$7, D$14:E$14, D$21:E$21, D$28:E$28, D$35:E$35), ","),
  _xlpm.tokens, _xlfn._xlws.FILTER(TRIM(_xlpm.raw), TRIM(_xlpm.raw)&lt;&gt;""),
  IFERROR(SUMPRODUCT(--(_xlpm.tokens=$I14)), 0)
)</f>
        <v>0</v>
      </c>
      <c r="O14" s="21" cm="1">
        <f t="array" ref="O14">_xlfn.LET(
  _xlpm.raw, _xlfn.TEXTSPLIT(_xlfn.TEXTJOIN(",",TRUE, D$8:E$8, D$15:E$15, D$22:E$22, D$29:E$29, D$36:E$36), ","),
  _xlpm.tokens, _xlfn._xlws.FILTER(TRIM(_xlpm.raw), TRIM(_xlpm.raw)&lt;&gt;""),
  IFERROR(SUMPRODUCT(--(_xlpm.tokens=$I14)), 0)
)</f>
        <v>0</v>
      </c>
      <c r="P14" s="21" cm="1">
        <f t="array" ref="P14">SUMPRODUCT(
    SIGN(($D$4:$D$32=I14)+($E$4:$E$32=I14)) * (1-SIGN(($D$5:$D$33=I14)+($E$5:$E$33=I14))) * SIGN(($D$6:$D$34=I14)+($E$6:$E$34=I14))
)</f>
        <v>0</v>
      </c>
      <c r="Q14" s="21">
        <f t="shared" si="0"/>
        <v>0</v>
      </c>
    </row>
    <row r="15" spans="2:18" ht="43.2" x14ac:dyDescent="0.3">
      <c r="B15" s="22"/>
      <c r="C15" s="23"/>
      <c r="D15" s="23"/>
      <c r="E15" s="23"/>
      <c r="F15" s="24"/>
      <c r="H15" s="28" t="str" cm="1">
        <f t="array" ref="H15">_xlfn.LET(
  _xlpm.all_workers, _xlfn._xlws.FILTER($I$13:$I$23, $I$13:$I$23&lt;&gt;""),
  _xlpm.blocked_raw, IF(TRIM($R15)="", "", _xlfn.TEXTSPLIT($R15, ",")),
  _xlpm.blocked, IF(TRIM($R15)="", "", TRIM(_xlpm.blocked_raw)),
  _xlfn.TEXTJOIN(", ", TRUE, _xlfn._xlws.FILTER(_xlpm.all_workers, IF(TRIM($R15)="", TRUE, ISNA(MATCH(_xlpm.all_workers, _xlpm.blocked, 0)))))
)</f>
        <v>ארדשירוב, ברג, גלינסקיה, דקל, הסר, חדיג'ה, לקן, סעוב, עסלי, פריאנטה, שמואל</v>
      </c>
      <c r="I15" s="21" t="s">
        <v>11</v>
      </c>
      <c r="J15" s="17"/>
      <c r="K15" s="21" cm="1">
        <f t="array" ref="K15">_xlfn.LET(
  _xlpm.raw, _xlfn.TEXTSPLIT(_xlfn.TEXTJOIN(",",TRUE, D$3:D$34), ","),
  _xlpm.tokens, _xlfn._xlws.FILTER(TRIM(_xlpm.raw), TRIM(_xlpm.raw)&lt;&gt;""),
  IFERROR(SUMPRODUCT(--(_xlpm.tokens=$I15)), 0)
)</f>
        <v>0</v>
      </c>
      <c r="L15" s="21" cm="1">
        <f t="array" ref="L15">_xlfn.LET(
  _xlpm.raw, _xlfn.TEXTSPLIT(_xlfn.TEXTJOIN(",",TRUE, E$4:E$34), ","),
  _xlpm.tokens, _xlfn._xlws.FILTER(TRIM(_xlpm.raw), TRIM(_xlpm.raw)&lt;&gt;""),
  IFERROR(SUMPRODUCT(--(_xlpm.tokens=$I15)), 0)
)</f>
        <v>0</v>
      </c>
      <c r="M15" s="21" cm="1">
        <f t="array" ref="M15">_xlfn.LET(
  _xlpm.raw, _xlfn.TEXTSPLIT(_xlfn.TEXTJOIN(",",TRUE, D$9:F$10, D$16:F$17, D$23:F$24, D$30:F$31, D$37:F$38), ","),
  _xlpm.tokens, _xlfn._xlws.FILTER(TRIM(_xlpm.raw), TRIM(_xlpm.raw)&lt;&gt;""),
  IFERROR(SUMPRODUCT(--(_xlpm.tokens=$I15)), 0)
)</f>
        <v>0</v>
      </c>
      <c r="N15" s="21" cm="1">
        <f t="array" ref="N15">_xlfn.LET(
  _xlpm.raw, _xlfn.TEXTSPLIT(_xlfn.TEXTJOIN(",",TRUE, D$7:E$7, D$14:E$14, D$21:E$21, D$28:E$28, D$35:E$35), ","),
  _xlpm.tokens, _xlfn._xlws.FILTER(TRIM(_xlpm.raw), TRIM(_xlpm.raw)&lt;&gt;""),
  IFERROR(SUMPRODUCT(--(_xlpm.tokens=$I15)), 0)
)</f>
        <v>0</v>
      </c>
      <c r="O15" s="21" cm="1">
        <f t="array" ref="O15">_xlfn.LET(
  _xlpm.raw, _xlfn.TEXTSPLIT(_xlfn.TEXTJOIN(",",TRUE, D$8:E$8, D$15:E$15, D$22:E$22, D$29:E$29, D$36:E$36), ","),
  _xlpm.tokens, _xlfn._xlws.FILTER(TRIM(_xlpm.raw), TRIM(_xlpm.raw)&lt;&gt;""),
  IFERROR(SUMPRODUCT(--(_xlpm.tokens=$I15)), 0)
)</f>
        <v>0</v>
      </c>
      <c r="P15" s="21" cm="1">
        <f t="array" ref="P15">SUMPRODUCT(
    SIGN(($D$4:$D$32=I15)+($E$4:$E$32=I15)) * (1-SIGN(($D$5:$D$33=I15)+($E$5:$E$33=I15))) * SIGN(($D$6:$D$34=I15)+($E$6:$E$34=I15))
)</f>
        <v>0</v>
      </c>
      <c r="Q15" s="21">
        <f t="shared" si="0"/>
        <v>0</v>
      </c>
    </row>
    <row r="16" spans="2:18" ht="43.2" x14ac:dyDescent="0.3">
      <c r="B16" s="22"/>
      <c r="C16" s="23"/>
      <c r="D16" s="23"/>
      <c r="E16" s="23"/>
      <c r="F16" s="24"/>
      <c r="H16" s="28" t="str" cm="1">
        <f t="array" ref="H16">_xlfn.LET(
  _xlpm.all_workers, _xlfn._xlws.FILTER($I$13:$I$23, $I$13:$I$23&lt;&gt;""),
  _xlpm.blocked_raw, IF(TRIM($R16)="", "", _xlfn.TEXTSPLIT($R16, ",")),
  _xlpm.blocked, IF(TRIM($R16)="", "", TRIM(_xlpm.blocked_raw)),
  _xlfn.TEXTJOIN(", ", TRUE, _xlfn._xlws.FILTER(_xlpm.all_workers, IF(TRIM($R16)="", TRUE, ISNA(MATCH(_xlpm.all_workers, _xlpm.blocked, 0)))))
)</f>
        <v>ארדשירוב, ברג, גלינסקיה, דקל, הסר, חדיג'ה, לקן, סעוב, עסלי, פריאנטה, שמואל</v>
      </c>
      <c r="I16" s="21" t="s">
        <v>14</v>
      </c>
      <c r="J16" s="17"/>
      <c r="K16" s="21" cm="1">
        <f t="array" ref="K16">_xlfn.LET(
  _xlpm.raw, _xlfn.TEXTSPLIT(_xlfn.TEXTJOIN(",",TRUE, D$3:D$34), ","),
  _xlpm.tokens, _xlfn._xlws.FILTER(TRIM(_xlpm.raw), TRIM(_xlpm.raw)&lt;&gt;""),
  IFERROR(SUMPRODUCT(--(_xlpm.tokens=$I16)), 0)
)</f>
        <v>0</v>
      </c>
      <c r="L16" s="21" cm="1">
        <f t="array" ref="L16">_xlfn.LET(
  _xlpm.raw, _xlfn.TEXTSPLIT(_xlfn.TEXTJOIN(",",TRUE, E$4:E$34), ","),
  _xlpm.tokens, _xlfn._xlws.FILTER(TRIM(_xlpm.raw), TRIM(_xlpm.raw)&lt;&gt;""),
  IFERROR(SUMPRODUCT(--(_xlpm.tokens=$I16)), 0)
)</f>
        <v>0</v>
      </c>
      <c r="M16" s="21" cm="1">
        <f t="array" ref="M16">_xlfn.LET(
  _xlpm.raw, _xlfn.TEXTSPLIT(_xlfn.TEXTJOIN(",",TRUE, D$9:F$10, D$16:F$17, D$23:F$24, D$30:F$31, D$37:F$38), ","),
  _xlpm.tokens, _xlfn._xlws.FILTER(TRIM(_xlpm.raw), TRIM(_xlpm.raw)&lt;&gt;""),
  IFERROR(SUMPRODUCT(--(_xlpm.tokens=$I16)), 0)
)</f>
        <v>0</v>
      </c>
      <c r="N16" s="21" cm="1">
        <f t="array" ref="N16">_xlfn.LET(
  _xlpm.raw, _xlfn.TEXTSPLIT(_xlfn.TEXTJOIN(",",TRUE, D$7:E$7, D$14:E$14, D$21:E$21, D$28:E$28, D$35:E$35), ","),
  _xlpm.tokens, _xlfn._xlws.FILTER(TRIM(_xlpm.raw), TRIM(_xlpm.raw)&lt;&gt;""),
  IFERROR(SUMPRODUCT(--(_xlpm.tokens=$I16)), 0)
)</f>
        <v>0</v>
      </c>
      <c r="O16" s="21" cm="1">
        <f t="array" ref="O16">_xlfn.LET(
  _xlpm.raw, _xlfn.TEXTSPLIT(_xlfn.TEXTJOIN(",",TRUE, D$8:E$8, D$15:E$15, D$22:E$22, D$29:E$29, D$36:E$36), ","),
  _xlpm.tokens, _xlfn._xlws.FILTER(TRIM(_xlpm.raw), TRIM(_xlpm.raw)&lt;&gt;""),
  IFERROR(SUMPRODUCT(--(_xlpm.tokens=$I16)), 0)
)</f>
        <v>0</v>
      </c>
      <c r="P16" s="21" cm="1">
        <f t="array" ref="P16">SUMPRODUCT(
    SIGN(($D$4:$D$32=I16)+($E$4:$E$32=I16)) * (1-SIGN(($D$5:$D$33=I16)+($E$5:$E$33=I16))) * SIGN(($D$6:$D$34=I16)+($E$6:$E$34=I16))
)</f>
        <v>0</v>
      </c>
      <c r="Q16" s="21">
        <f t="shared" si="0"/>
        <v>0</v>
      </c>
    </row>
    <row r="17" spans="2:17" ht="43.2" x14ac:dyDescent="0.3">
      <c r="B17" s="22"/>
      <c r="C17" s="23"/>
      <c r="D17" s="23"/>
      <c r="E17" s="23"/>
      <c r="F17" s="24"/>
      <c r="H17" s="28" t="str" cm="1">
        <f t="array" ref="H17">_xlfn.LET(
  _xlpm.all_workers, _xlfn._xlws.FILTER($I$13:$I$23, $I$13:$I$23&lt;&gt;""),
  _xlpm.blocked_raw, IF(TRIM($R17)="", "", _xlfn.TEXTSPLIT($R17, ",")),
  _xlpm.blocked, IF(TRIM($R17)="", "", TRIM(_xlpm.blocked_raw)),
  _xlfn.TEXTJOIN(", ", TRUE, _xlfn._xlws.FILTER(_xlpm.all_workers, IF(TRIM($R17)="", TRUE, ISNA(MATCH(_xlpm.all_workers, _xlpm.blocked, 0)))))
)</f>
        <v>ארדשירוב, ברג, גלינסקיה, דקל, הסר, חדיג'ה, לקן, סעוב, עסלי, פריאנטה, שמואל</v>
      </c>
      <c r="I17" s="21" t="s">
        <v>17</v>
      </c>
      <c r="J17" s="17"/>
      <c r="K17" s="21" cm="1">
        <f t="array" ref="K17">_xlfn.LET(
  _xlpm.raw, _xlfn.TEXTSPLIT(_xlfn.TEXTJOIN(",",TRUE, D$3:D$34), ","),
  _xlpm.tokens, _xlfn._xlws.FILTER(TRIM(_xlpm.raw), TRIM(_xlpm.raw)&lt;&gt;""),
  IFERROR(SUMPRODUCT(--(_xlpm.tokens=$I17)), 0)
)</f>
        <v>0</v>
      </c>
      <c r="L17" s="21" cm="1">
        <f t="array" ref="L17">_xlfn.LET(
  _xlpm.raw, _xlfn.TEXTSPLIT(_xlfn.TEXTJOIN(",",TRUE, E$4:E$34), ","),
  _xlpm.tokens, _xlfn._xlws.FILTER(TRIM(_xlpm.raw), TRIM(_xlpm.raw)&lt;&gt;""),
  IFERROR(SUMPRODUCT(--(_xlpm.tokens=$I17)), 0)
)</f>
        <v>0</v>
      </c>
      <c r="M17" s="21" cm="1">
        <f t="array" ref="M17">_xlfn.LET(
  _xlpm.raw, _xlfn.TEXTSPLIT(_xlfn.TEXTJOIN(",",TRUE, D$9:F$10, D$16:F$17, D$23:F$24, D$30:F$31, D$37:F$38), ","),
  _xlpm.tokens, _xlfn._xlws.FILTER(TRIM(_xlpm.raw), TRIM(_xlpm.raw)&lt;&gt;""),
  IFERROR(SUMPRODUCT(--(_xlpm.tokens=$I17)), 0)
)</f>
        <v>0</v>
      </c>
      <c r="N17" s="21" cm="1">
        <f t="array" ref="N17">_xlfn.LET(
  _xlpm.raw, _xlfn.TEXTSPLIT(_xlfn.TEXTJOIN(",",TRUE, D$7:E$7, D$14:E$14, D$21:E$21, D$28:E$28, D$35:E$35), ","),
  _xlpm.tokens, _xlfn._xlws.FILTER(TRIM(_xlpm.raw), TRIM(_xlpm.raw)&lt;&gt;""),
  IFERROR(SUMPRODUCT(--(_xlpm.tokens=$I17)), 0)
)</f>
        <v>0</v>
      </c>
      <c r="O17" s="21" cm="1">
        <f t="array" ref="O17">_xlfn.LET(
  _xlpm.raw, _xlfn.TEXTSPLIT(_xlfn.TEXTJOIN(",",TRUE, D$8:E$8, D$15:E$15, D$22:E$22, D$29:E$29, D$36:E$36), ","),
  _xlpm.tokens, _xlfn._xlws.FILTER(TRIM(_xlpm.raw), TRIM(_xlpm.raw)&lt;&gt;""),
  IFERROR(SUMPRODUCT(--(_xlpm.tokens=$I17)), 0)
)</f>
        <v>0</v>
      </c>
      <c r="P17" s="21" cm="1">
        <f t="array" ref="P17">SUMPRODUCT(
    SIGN(($D$4:$D$32=I17)+($E$4:$E$32=I17)) * (1-SIGN(($D$5:$D$33=I17)+($E$5:$E$33=I17))) * SIGN(($D$6:$D$34=I17)+($E$6:$E$34=I17))
)</f>
        <v>0</v>
      </c>
      <c r="Q17" s="21">
        <f t="shared" si="0"/>
        <v>0</v>
      </c>
    </row>
    <row r="18" spans="2:17" ht="43.2" x14ac:dyDescent="0.3">
      <c r="B18" s="22"/>
      <c r="C18" s="23"/>
      <c r="D18" s="23"/>
      <c r="E18" s="23"/>
      <c r="F18" s="24"/>
      <c r="H18" s="28" t="str" cm="1">
        <f t="array" ref="H18">_xlfn.LET(
  _xlpm.all_workers, _xlfn._xlws.FILTER($I$13:$I$23, $I$13:$I$23&lt;&gt;""),
  _xlpm.blocked_raw, IF(TRIM($R18)="", "", _xlfn.TEXTSPLIT($R18, ",")),
  _xlpm.blocked, IF(TRIM($R18)="", "", TRIM(_xlpm.blocked_raw)),
  _xlfn.TEXTJOIN(", ", TRUE, _xlfn._xlws.FILTER(_xlpm.all_workers, IF(TRIM($R18)="", TRUE, ISNA(MATCH(_xlpm.all_workers, _xlpm.blocked, 0)))))
)</f>
        <v>ארדשירוב, ברג, גלינסקיה, דקל, הסר, חדיג'ה, לקן, סעוב, עסלי, פריאנטה, שמואל</v>
      </c>
      <c r="I18" s="21" t="s">
        <v>15</v>
      </c>
      <c r="J18" s="17"/>
      <c r="K18" s="21" cm="1">
        <f t="array" ref="K18">_xlfn.LET(
  _xlpm.raw, _xlfn.TEXTSPLIT(_xlfn.TEXTJOIN(",",TRUE, D$3:D$34), ","),
  _xlpm.tokens, _xlfn._xlws.FILTER(TRIM(_xlpm.raw), TRIM(_xlpm.raw)&lt;&gt;""),
  IFERROR(SUMPRODUCT(--(_xlpm.tokens=$I18)), 0)
)</f>
        <v>0</v>
      </c>
      <c r="L18" s="21" cm="1">
        <f t="array" ref="L18">_xlfn.LET(
  _xlpm.raw, _xlfn.TEXTSPLIT(_xlfn.TEXTJOIN(",",TRUE, E$4:E$34), ","),
  _xlpm.tokens, _xlfn._xlws.FILTER(TRIM(_xlpm.raw), TRIM(_xlpm.raw)&lt;&gt;""),
  IFERROR(SUMPRODUCT(--(_xlpm.tokens=$I18)), 0)
)</f>
        <v>0</v>
      </c>
      <c r="M18" s="21" cm="1">
        <f t="array" ref="M18">_xlfn.LET(
  _xlpm.raw, _xlfn.TEXTSPLIT(_xlfn.TEXTJOIN(",",TRUE, D$9:F$10, D$16:F$17, D$23:F$24, D$30:F$31, D$37:F$38), ","),
  _xlpm.tokens, _xlfn._xlws.FILTER(TRIM(_xlpm.raw), TRIM(_xlpm.raw)&lt;&gt;""),
  IFERROR(SUMPRODUCT(--(_xlpm.tokens=$I18)), 0)
)</f>
        <v>0</v>
      </c>
      <c r="N18" s="21" cm="1">
        <f t="array" ref="N18">_xlfn.LET(
  _xlpm.raw, _xlfn.TEXTSPLIT(_xlfn.TEXTJOIN(",",TRUE, D$7:E$7, D$14:E$14, D$21:E$21, D$28:E$28, D$35:E$35), ","),
  _xlpm.tokens, _xlfn._xlws.FILTER(TRIM(_xlpm.raw), TRIM(_xlpm.raw)&lt;&gt;""),
  IFERROR(SUMPRODUCT(--(_xlpm.tokens=$I18)), 0)
)</f>
        <v>0</v>
      </c>
      <c r="O18" s="21" cm="1">
        <f t="array" ref="O18">_xlfn.LET(
  _xlpm.raw, _xlfn.TEXTSPLIT(_xlfn.TEXTJOIN(",",TRUE, D$8:E$8, D$15:E$15, D$22:E$22, D$29:E$29, D$36:E$36), ","),
  _xlpm.tokens, _xlfn._xlws.FILTER(TRIM(_xlpm.raw), TRIM(_xlpm.raw)&lt;&gt;""),
  IFERROR(SUMPRODUCT(--(_xlpm.tokens=$I18)), 0)
)</f>
        <v>0</v>
      </c>
      <c r="P18" s="21" cm="1">
        <f t="array" ref="P18">SUMPRODUCT(
    SIGN(($D$4:$D$32=I18)+($E$4:$E$32=I18)) * (1-SIGN(($D$5:$D$33=I18)+($E$5:$E$33=I18))) * SIGN(($D$6:$D$34=I18)+($E$6:$E$34=I18))
)</f>
        <v>0</v>
      </c>
      <c r="Q18" s="21">
        <f t="shared" si="0"/>
        <v>0</v>
      </c>
    </row>
    <row r="19" spans="2:17" ht="43.2" x14ac:dyDescent="0.3">
      <c r="B19" s="22"/>
      <c r="C19" s="23"/>
      <c r="D19" s="23"/>
      <c r="E19" s="23"/>
      <c r="F19" s="24"/>
      <c r="H19" s="28" t="str" cm="1">
        <f t="array" ref="H19">_xlfn.LET(
  _xlpm.all_workers, _xlfn._xlws.FILTER($I$13:$I$23, $I$13:$I$23&lt;&gt;""),
  _xlpm.blocked_raw, IF(TRIM($R19)="", "", _xlfn.TEXTSPLIT($R19, ",")),
  _xlpm.blocked, IF(TRIM($R19)="", "", TRIM(_xlpm.blocked_raw)),
  _xlfn.TEXTJOIN(", ", TRUE, _xlfn._xlws.FILTER(_xlpm.all_workers, IF(TRIM($R19)="", TRUE, ISNA(MATCH(_xlpm.all_workers, _xlpm.blocked, 0)))))
)</f>
        <v>ארדשירוב, ברג, גלינסקיה, דקל, הסר, חדיג'ה, לקן, סעוב, עסלי, פריאנטה, שמואל</v>
      </c>
      <c r="I19" s="21" t="s">
        <v>19</v>
      </c>
      <c r="J19" s="17"/>
      <c r="K19" s="21" cm="1">
        <f t="array" ref="K19">_xlfn.LET(
  _xlpm.raw, _xlfn.TEXTSPLIT(_xlfn.TEXTJOIN(",",TRUE, D$3:D$34), ","),
  _xlpm.tokens, _xlfn._xlws.FILTER(TRIM(_xlpm.raw), TRIM(_xlpm.raw)&lt;&gt;""),
  IFERROR(SUMPRODUCT(--(_xlpm.tokens=$I19)), 0)
)</f>
        <v>0</v>
      </c>
      <c r="L19" s="21" cm="1">
        <f t="array" ref="L19">_xlfn.LET(
  _xlpm.raw, _xlfn.TEXTSPLIT(_xlfn.TEXTJOIN(",",TRUE, E$4:E$34), ","),
  _xlpm.tokens, _xlfn._xlws.FILTER(TRIM(_xlpm.raw), TRIM(_xlpm.raw)&lt;&gt;""),
  IFERROR(SUMPRODUCT(--(_xlpm.tokens=$I19)), 0)
)</f>
        <v>0</v>
      </c>
      <c r="M19" s="21" cm="1">
        <f t="array" ref="M19">_xlfn.LET(
  _xlpm.raw, _xlfn.TEXTSPLIT(_xlfn.TEXTJOIN(",",TRUE, D$9:F$10, D$16:F$17, D$23:F$24, D$30:F$31, D$37:F$38), ","),
  _xlpm.tokens, _xlfn._xlws.FILTER(TRIM(_xlpm.raw), TRIM(_xlpm.raw)&lt;&gt;""),
  IFERROR(SUMPRODUCT(--(_xlpm.tokens=$I19)), 0)
)</f>
        <v>0</v>
      </c>
      <c r="N19" s="21" cm="1">
        <f t="array" ref="N19">_xlfn.LET(
  _xlpm.raw, _xlfn.TEXTSPLIT(_xlfn.TEXTJOIN(",",TRUE, D$7:E$7, D$14:E$14, D$21:E$21, D$28:E$28, D$35:E$35), ","),
  _xlpm.tokens, _xlfn._xlws.FILTER(TRIM(_xlpm.raw), TRIM(_xlpm.raw)&lt;&gt;""),
  IFERROR(SUMPRODUCT(--(_xlpm.tokens=$I19)), 0)
)</f>
        <v>0</v>
      </c>
      <c r="O19" s="21" cm="1">
        <f t="array" ref="O19">_xlfn.LET(
  _xlpm.raw, _xlfn.TEXTSPLIT(_xlfn.TEXTJOIN(",",TRUE, D$8:E$8, D$15:E$15, D$22:E$22, D$29:E$29, D$36:E$36), ","),
  _xlpm.tokens, _xlfn._xlws.FILTER(TRIM(_xlpm.raw), TRIM(_xlpm.raw)&lt;&gt;""),
  IFERROR(SUMPRODUCT(--(_xlpm.tokens=$I19)), 0)
)</f>
        <v>0</v>
      </c>
      <c r="P19" s="21" cm="1">
        <f t="array" ref="P19">SUMPRODUCT(
    SIGN(($D$4:$D$32=I19)+($E$4:$E$32=I19)) * (1-SIGN(($D$5:$D$33=I19)+($E$5:$E$33=I19))) * SIGN(($D$6:$D$34=I19)+($E$6:$E$34=I19))
)</f>
        <v>0</v>
      </c>
      <c r="Q19" s="21">
        <f t="shared" si="0"/>
        <v>0</v>
      </c>
    </row>
    <row r="20" spans="2:17" ht="43.2" x14ac:dyDescent="0.3">
      <c r="B20" s="22"/>
      <c r="C20" s="23"/>
      <c r="D20" s="23"/>
      <c r="E20" s="23"/>
      <c r="F20" s="24"/>
      <c r="H20" s="28" t="str" cm="1">
        <f t="array" ref="H20">_xlfn.LET(
  _xlpm.all_workers, _xlfn._xlws.FILTER($I$13:$I$23, $I$13:$I$23&lt;&gt;""),
  _xlpm.blocked_raw, IF(TRIM($R20)="", "", _xlfn.TEXTSPLIT($R20, ",")),
  _xlpm.blocked, IF(TRIM($R20)="", "", TRIM(_xlpm.blocked_raw)),
  _xlfn.TEXTJOIN(", ", TRUE, _xlfn._xlws.FILTER(_xlpm.all_workers, IF(TRIM($R20)="", TRUE, ISNA(MATCH(_xlpm.all_workers, _xlpm.blocked, 0)))))
)</f>
        <v>ארדשירוב, ברג, גלינסקיה, דקל, הסר, חדיג'ה, לקן, סעוב, עסלי, פריאנטה, שמואל</v>
      </c>
      <c r="I20" s="21" t="s">
        <v>16</v>
      </c>
      <c r="J20" s="17"/>
      <c r="K20" s="21" cm="1">
        <f t="array" ref="K20">_xlfn.LET(
  _xlpm.raw, _xlfn.TEXTSPLIT(_xlfn.TEXTJOIN(",",TRUE, D$3:D$34), ","),
  _xlpm.tokens, _xlfn._xlws.FILTER(TRIM(_xlpm.raw), TRIM(_xlpm.raw)&lt;&gt;""),
  IFERROR(SUMPRODUCT(--(_xlpm.tokens=$I20)), 0)
)</f>
        <v>0</v>
      </c>
      <c r="L20" s="21" cm="1">
        <f t="array" ref="L20">_xlfn.LET(
  _xlpm.raw, _xlfn.TEXTSPLIT(_xlfn.TEXTJOIN(",",TRUE, E$4:E$34), ","),
  _xlpm.tokens, _xlfn._xlws.FILTER(TRIM(_xlpm.raw), TRIM(_xlpm.raw)&lt;&gt;""),
  IFERROR(SUMPRODUCT(--(_xlpm.tokens=$I20)), 0)
)</f>
        <v>0</v>
      </c>
      <c r="M20" s="21" cm="1">
        <f t="array" ref="M20">_xlfn.LET(
  _xlpm.raw, _xlfn.TEXTSPLIT(_xlfn.TEXTJOIN(",",TRUE, D$9:F$10, D$16:F$17, D$23:F$24, D$30:F$31, D$37:F$38), ","),
  _xlpm.tokens, _xlfn._xlws.FILTER(TRIM(_xlpm.raw), TRIM(_xlpm.raw)&lt;&gt;""),
  IFERROR(SUMPRODUCT(--(_xlpm.tokens=$I20)), 0)
)</f>
        <v>0</v>
      </c>
      <c r="N20" s="21" cm="1">
        <f t="array" ref="N20">_xlfn.LET(
  _xlpm.raw, _xlfn.TEXTSPLIT(_xlfn.TEXTJOIN(",",TRUE, D$7:E$7, D$14:E$14, D$21:E$21, D$28:E$28, D$35:E$35), ","),
  _xlpm.tokens, _xlfn._xlws.FILTER(TRIM(_xlpm.raw), TRIM(_xlpm.raw)&lt;&gt;""),
  IFERROR(SUMPRODUCT(--(_xlpm.tokens=$I20)), 0)
)</f>
        <v>0</v>
      </c>
      <c r="O20" s="21" cm="1">
        <f t="array" ref="O20">_xlfn.LET(
  _xlpm.raw, _xlfn.TEXTSPLIT(_xlfn.TEXTJOIN(",",TRUE, D$8:E$8, D$15:E$15, D$22:E$22, D$29:E$29, D$36:E$36), ","),
  _xlpm.tokens, _xlfn._xlws.FILTER(TRIM(_xlpm.raw), TRIM(_xlpm.raw)&lt;&gt;""),
  IFERROR(SUMPRODUCT(--(_xlpm.tokens=$I20)), 0)
)</f>
        <v>0</v>
      </c>
      <c r="P20" s="21" cm="1">
        <f t="array" ref="P20">SUMPRODUCT(
    SIGN(($D$4:$D$32=I20)+($E$4:$E$32=I20)) * (1-SIGN(($D$5:$D$33=I20)+($E$5:$E$33=I20))) * SIGN(($D$6:$D$34=I20)+($E$6:$E$34=I20))
)</f>
        <v>0</v>
      </c>
      <c r="Q20" s="21">
        <f t="shared" si="0"/>
        <v>0</v>
      </c>
    </row>
    <row r="21" spans="2:17" ht="43.2" x14ac:dyDescent="0.3">
      <c r="B21" s="22"/>
      <c r="C21" s="23"/>
      <c r="D21" s="23"/>
      <c r="E21" s="23"/>
      <c r="F21" s="24"/>
      <c r="H21" s="28" t="str" cm="1">
        <f t="array" ref="H21">_xlfn.LET(
  _xlpm.all_workers, _xlfn._xlws.FILTER($I$13:$I$23, $I$13:$I$23&lt;&gt;""),
  _xlpm.blocked_raw, IF(TRIM($R21)="", "", _xlfn.TEXTSPLIT($R21, ",")),
  _xlpm.blocked, IF(TRIM($R21)="", "", TRIM(_xlpm.blocked_raw)),
  _xlfn.TEXTJOIN(", ", TRUE, _xlfn._xlws.FILTER(_xlpm.all_workers, IF(TRIM($R21)="", TRUE, ISNA(MATCH(_xlpm.all_workers, _xlpm.blocked, 0)))))
)</f>
        <v>ארדשירוב, ברג, גלינסקיה, דקל, הסר, חדיג'ה, לקן, סעוב, עסלי, פריאנטה, שמואל</v>
      </c>
      <c r="I21" s="21" t="s">
        <v>13</v>
      </c>
      <c r="J21" s="17"/>
      <c r="K21" s="21" cm="1">
        <f t="array" ref="K21">_xlfn.LET(
  _xlpm.raw, _xlfn.TEXTSPLIT(_xlfn.TEXTJOIN(",",TRUE, D$3:D$34), ","),
  _xlpm.tokens, _xlfn._xlws.FILTER(TRIM(_xlpm.raw), TRIM(_xlpm.raw)&lt;&gt;""),
  IFERROR(SUMPRODUCT(--(_xlpm.tokens=$I21)), 0)
)</f>
        <v>0</v>
      </c>
      <c r="L21" s="21" cm="1">
        <f t="array" ref="L21">_xlfn.LET(
  _xlpm.raw, _xlfn.TEXTSPLIT(_xlfn.TEXTJOIN(",",TRUE, E$4:E$34), ","),
  _xlpm.tokens, _xlfn._xlws.FILTER(TRIM(_xlpm.raw), TRIM(_xlpm.raw)&lt;&gt;""),
  IFERROR(SUMPRODUCT(--(_xlpm.tokens=$I21)), 0)
)</f>
        <v>0</v>
      </c>
      <c r="M21" s="21" cm="1">
        <f t="array" ref="M21">_xlfn.LET(
  _xlpm.raw, _xlfn.TEXTSPLIT(_xlfn.TEXTJOIN(",",TRUE, D$9:F$10, D$16:F$17, D$23:F$24, D$30:F$31, D$37:F$38), ","),
  _xlpm.tokens, _xlfn._xlws.FILTER(TRIM(_xlpm.raw), TRIM(_xlpm.raw)&lt;&gt;""),
  IFERROR(SUMPRODUCT(--(_xlpm.tokens=$I21)), 0)
)</f>
        <v>0</v>
      </c>
      <c r="N21" s="21" cm="1">
        <f t="array" ref="N21">_xlfn.LET(
  _xlpm.raw, _xlfn.TEXTSPLIT(_xlfn.TEXTJOIN(",",TRUE, D$7:E$7, D$14:E$14, D$21:E$21, D$28:E$28, D$35:E$35), ","),
  _xlpm.tokens, _xlfn._xlws.FILTER(TRIM(_xlpm.raw), TRIM(_xlpm.raw)&lt;&gt;""),
  IFERROR(SUMPRODUCT(--(_xlpm.tokens=$I21)), 0)
)</f>
        <v>0</v>
      </c>
      <c r="O21" s="21" cm="1">
        <f t="array" ref="O21">_xlfn.LET(
  _xlpm.raw, _xlfn.TEXTSPLIT(_xlfn.TEXTJOIN(",",TRUE, D$8:E$8, D$15:E$15, D$22:E$22, D$29:E$29, D$36:E$36), ","),
  _xlpm.tokens, _xlfn._xlws.FILTER(TRIM(_xlpm.raw), TRIM(_xlpm.raw)&lt;&gt;""),
  IFERROR(SUMPRODUCT(--(_xlpm.tokens=$I21)), 0)
)</f>
        <v>0</v>
      </c>
      <c r="P21" s="21" cm="1">
        <f t="array" ref="P21">SUMPRODUCT(
    SIGN(($D$4:$D$32=I21)+($E$4:$E$32=I21)) * (1-SIGN(($D$5:$D$33=I21)+($E$5:$E$33=I21))) * SIGN(($D$6:$D$34=I21)+($E$6:$E$34=I21))
)</f>
        <v>0</v>
      </c>
      <c r="Q21" s="21">
        <f t="shared" si="0"/>
        <v>0</v>
      </c>
    </row>
    <row r="22" spans="2:17" ht="43.2" x14ac:dyDescent="0.3">
      <c r="B22" s="22"/>
      <c r="C22" s="23"/>
      <c r="D22" s="23"/>
      <c r="E22" s="23"/>
      <c r="F22" s="24"/>
      <c r="H22" s="28" t="str" cm="1">
        <f t="array" ref="H22">_xlfn.LET(
  _xlpm.all_workers, _xlfn._xlws.FILTER($I$13:$I$23, $I$13:$I$23&lt;&gt;""),
  _xlpm.blocked_raw, IF(TRIM($R22)="", "", _xlfn.TEXTSPLIT($R22, ",")),
  _xlpm.blocked, IF(TRIM($R22)="", "", TRIM(_xlpm.blocked_raw)),
  _xlfn.TEXTJOIN(", ", TRUE, _xlfn._xlws.FILTER(_xlpm.all_workers, IF(TRIM($R22)="", TRUE, ISNA(MATCH(_xlpm.all_workers, _xlpm.blocked, 0)))))
)</f>
        <v>ארדשירוב, ברג, גלינסקיה, דקל, הסר, חדיג'ה, לקן, סעוב, עסלי, פריאנטה, שמואל</v>
      </c>
      <c r="I22" s="21" t="s">
        <v>50</v>
      </c>
      <c r="J22" s="17"/>
      <c r="K22" s="21" cm="1">
        <f t="array" ref="K22">_xlfn.LET(
  _xlpm.raw, _xlfn.TEXTSPLIT(_xlfn.TEXTJOIN(",",TRUE, D$3:D$34), ","),
  _xlpm.tokens, _xlfn._xlws.FILTER(TRIM(_xlpm.raw), TRIM(_xlpm.raw)&lt;&gt;""),
  IFERROR(SUMPRODUCT(--(_xlpm.tokens=$I22)), 0)
)</f>
        <v>0</v>
      </c>
      <c r="L22" s="21" cm="1">
        <f t="array" ref="L22">_xlfn.LET(
  _xlpm.raw, _xlfn.TEXTSPLIT(_xlfn.TEXTJOIN(",",TRUE, E$4:E$34), ","),
  _xlpm.tokens, _xlfn._xlws.FILTER(TRIM(_xlpm.raw), TRIM(_xlpm.raw)&lt;&gt;""),
  IFERROR(SUMPRODUCT(--(_xlpm.tokens=$I22)), 0)
)</f>
        <v>0</v>
      </c>
      <c r="M22" s="21" cm="1">
        <f t="array" ref="M22">_xlfn.LET(
  _xlpm.raw, _xlfn.TEXTSPLIT(_xlfn.TEXTJOIN(",",TRUE, D$9:F$10, D$16:F$17, D$23:F$24, D$30:F$31, D$37:F$38), ","),
  _xlpm.tokens, _xlfn._xlws.FILTER(TRIM(_xlpm.raw), TRIM(_xlpm.raw)&lt;&gt;""),
  IFERROR(SUMPRODUCT(--(_xlpm.tokens=$I22)), 0)
)</f>
        <v>0</v>
      </c>
      <c r="N22" s="21" cm="1">
        <f t="array" ref="N22">_xlfn.LET(
  _xlpm.raw, _xlfn.TEXTSPLIT(_xlfn.TEXTJOIN(",",TRUE, D$7:E$7, D$14:E$14, D$21:E$21, D$28:E$28, D$35:E$35), ","),
  _xlpm.tokens, _xlfn._xlws.FILTER(TRIM(_xlpm.raw), TRIM(_xlpm.raw)&lt;&gt;""),
  IFERROR(SUMPRODUCT(--(_xlpm.tokens=$I22)), 0)
)</f>
        <v>0</v>
      </c>
      <c r="O22" s="21" cm="1">
        <f t="array" ref="O22">_xlfn.LET(
  _xlpm.raw, _xlfn.TEXTSPLIT(_xlfn.TEXTJOIN(",",TRUE, D$8:E$8, D$15:E$15, D$22:E$22, D$29:E$29, D$36:E$36), ","),
  _xlpm.tokens, _xlfn._xlws.FILTER(TRIM(_xlpm.raw), TRIM(_xlpm.raw)&lt;&gt;""),
  IFERROR(SUMPRODUCT(--(_xlpm.tokens=$I22)), 0)
)</f>
        <v>0</v>
      </c>
      <c r="P22" s="21" cm="1">
        <f t="array" ref="P22">SUMPRODUCT(
    SIGN(($D$4:$D$32=I22)+($E$4:$E$32=I22)) * (1-SIGN(($D$5:$D$33=I22)+($E$5:$E$33=I22))) * SIGN(($D$6:$D$34=I22)+($E$6:$E$34=I22))
)</f>
        <v>0</v>
      </c>
      <c r="Q22" s="21">
        <f t="shared" si="0"/>
        <v>0</v>
      </c>
    </row>
    <row r="23" spans="2:17" ht="43.2" x14ac:dyDescent="0.3">
      <c r="B23" s="22"/>
      <c r="C23" s="23"/>
      <c r="D23" s="23"/>
      <c r="E23" s="23"/>
      <c r="F23" s="24"/>
      <c r="H23" s="28" t="str" cm="1">
        <f t="array" ref="H23">_xlfn.LET(
  _xlpm.all_workers, _xlfn._xlws.FILTER($I$13:$I$23, $I$13:$I$23&lt;&gt;""),
  _xlpm.blocked_raw, IF(TRIM($R23)="", "", _xlfn.TEXTSPLIT($R23, ",")),
  _xlpm.blocked, IF(TRIM($R23)="", "", TRIM(_xlpm.blocked_raw)),
  _xlfn.TEXTJOIN(", ", TRUE, _xlfn._xlws.FILTER(_xlpm.all_workers, IF(TRIM($R23)="", TRUE, ISNA(MATCH(_xlpm.all_workers, _xlpm.blocked, 0)))))
)</f>
        <v>ארדשירוב, ברג, גלינסקיה, דקל, הסר, חדיג'ה, לקן, סעוב, עסלי, פריאנטה, שמואל</v>
      </c>
      <c r="I23" s="21" t="s">
        <v>9</v>
      </c>
      <c r="J23" s="17"/>
      <c r="K23" s="21" cm="1">
        <f t="array" ref="K23">_xlfn.LET(
  _xlpm.raw, _xlfn.TEXTSPLIT(_xlfn.TEXTJOIN(",",TRUE, D$3:D$34), ","),
  _xlpm.tokens, _xlfn._xlws.FILTER(TRIM(_xlpm.raw), TRIM(_xlpm.raw)&lt;&gt;""),
  IFERROR(SUMPRODUCT(--(_xlpm.tokens=$I23)), 0)
)</f>
        <v>0</v>
      </c>
      <c r="L23" s="21" cm="1">
        <f t="array" ref="L23">_xlfn.LET(
  _xlpm.raw, _xlfn.TEXTSPLIT(_xlfn.TEXTJOIN(",",TRUE, E$4:E$34), ","),
  _xlpm.tokens, _xlfn._xlws.FILTER(TRIM(_xlpm.raw), TRIM(_xlpm.raw)&lt;&gt;""),
  IFERROR(SUMPRODUCT(--(_xlpm.tokens=$I23)), 0)
)</f>
        <v>0</v>
      </c>
      <c r="M23" s="21" cm="1">
        <f t="array" ref="M23">_xlfn.LET(
  _xlpm.raw, _xlfn.TEXTSPLIT(_xlfn.TEXTJOIN(",",TRUE, D$9:F$10, D$16:F$17, D$23:F$24, D$30:F$31, D$37:F$38), ","),
  _xlpm.tokens, _xlfn._xlws.FILTER(TRIM(_xlpm.raw), TRIM(_xlpm.raw)&lt;&gt;""),
  IFERROR(SUMPRODUCT(--(_xlpm.tokens=$I23)), 0)
)</f>
        <v>0</v>
      </c>
      <c r="N23" s="21" cm="1">
        <f t="array" ref="N23">_xlfn.LET(
  _xlpm.raw, _xlfn.TEXTSPLIT(_xlfn.TEXTJOIN(",",TRUE, D$7:E$7, D$14:E$14, D$21:E$21, D$28:E$28, D$35:E$35), ","),
  _xlpm.tokens, _xlfn._xlws.FILTER(TRIM(_xlpm.raw), TRIM(_xlpm.raw)&lt;&gt;""),
  IFERROR(SUMPRODUCT(--(_xlpm.tokens=$I23)), 0)
)</f>
        <v>0</v>
      </c>
      <c r="O23" s="21" cm="1">
        <f t="array" ref="O23">_xlfn.LET(
  _xlpm.raw, _xlfn.TEXTSPLIT(_xlfn.TEXTJOIN(",",TRUE, D$8:E$8, D$15:E$15, D$22:E$22, D$29:E$29, D$36:E$36), ","),
  _xlpm.tokens, _xlfn._xlws.FILTER(TRIM(_xlpm.raw), TRIM(_xlpm.raw)&lt;&gt;""),
  IFERROR(SUMPRODUCT(--(_xlpm.tokens=$I23)), 0)
)</f>
        <v>0</v>
      </c>
      <c r="P23" s="21" cm="1">
        <f t="array" ref="P23">SUMPRODUCT(
    SIGN(($D$4:$D$32=I23)+($E$4:$E$32=I23)) * (1-SIGN(($D$5:$D$33=I23)+($E$5:$E$33=I23))) * SIGN(($D$6:$D$34=I23)+($E$6:$E$34=I23))
)</f>
        <v>0</v>
      </c>
      <c r="Q23" s="21">
        <f t="shared" si="0"/>
        <v>0</v>
      </c>
    </row>
    <row r="24" spans="2:17" ht="43.2" x14ac:dyDescent="0.3">
      <c r="B24" s="22"/>
      <c r="C24" s="23"/>
      <c r="D24" s="23"/>
      <c r="E24" s="23"/>
      <c r="F24" s="24"/>
      <c r="H24" s="28" t="str" cm="1">
        <f t="array" ref="H24">_xlfn.LET(
  _xlpm.all_workers, _xlfn._xlws.FILTER($I$13:$I$23, $I$13:$I$23&lt;&gt;""),
  _xlpm.blocked_raw, IF(TRIM($R24)="", "", _xlfn.TEXTSPLIT($R24, ",")),
  _xlpm.blocked, IF(TRIM($R24)="", "", TRIM(_xlpm.blocked_raw)),
  _xlfn.TEXTJOIN(", ", TRUE, _xlfn._xlws.FILTER(_xlpm.all_workers, IF(TRIM($R24)="", TRUE, ISNA(MATCH(_xlpm.all_workers, _xlpm.blocked, 0)))))
)</f>
        <v>ארדשירוב, ברג, גלינסקיה, דקל, הסר, חדיג'ה, לקן, סעוב, עסלי, פריאנטה, שמואל</v>
      </c>
    </row>
    <row r="25" spans="2:17" ht="43.2" x14ac:dyDescent="0.3">
      <c r="B25" s="22"/>
      <c r="C25" s="23"/>
      <c r="D25" s="23"/>
      <c r="E25" s="23"/>
      <c r="F25" s="24"/>
      <c r="H25" s="28" t="str" cm="1">
        <f t="array" ref="H25">_xlfn.LET(
  _xlpm.all_workers, _xlfn._xlws.FILTER($I$13:$I$23, $I$13:$I$23&lt;&gt;""),
  _xlpm.blocked_raw, IF(TRIM($R25)="", "", _xlfn.TEXTSPLIT($R25, ",")),
  _xlpm.blocked, IF(TRIM($R25)="", "", TRIM(_xlpm.blocked_raw)),
  _xlfn.TEXTJOIN(", ", TRUE, _xlfn._xlws.FILTER(_xlpm.all_workers, IF(TRIM($R25)="", TRUE, ISNA(MATCH(_xlpm.all_workers, _xlpm.blocked, 0)))))
)</f>
        <v>ארדשירוב, ברג, גלינסקיה, דקל, הסר, חדיג'ה, לקן, סעוב, עסלי, פריאנטה, שמואל</v>
      </c>
    </row>
    <row r="26" spans="2:17" ht="43.2" x14ac:dyDescent="0.3">
      <c r="B26" s="22"/>
      <c r="C26" s="23"/>
      <c r="D26" s="23"/>
      <c r="E26" s="23"/>
      <c r="F26" s="24"/>
      <c r="H26" s="28" t="str" cm="1">
        <f t="array" ref="H26">_xlfn.LET(
  _xlpm.all_workers, _xlfn._xlws.FILTER($I$13:$I$23, $I$13:$I$23&lt;&gt;""),
  _xlpm.blocked_raw, IF(TRIM($R26)="", "", _xlfn.TEXTSPLIT($R26, ",")),
  _xlpm.blocked, IF(TRIM($R26)="", "", TRIM(_xlpm.blocked_raw)),
  _xlfn.TEXTJOIN(", ", TRUE, _xlfn._xlws.FILTER(_xlpm.all_workers, IF(TRIM($R26)="", TRUE, ISNA(MATCH(_xlpm.all_workers, _xlpm.blocked, 0)))))
)</f>
        <v>ארדשירוב, ברג, גלינסקיה, דקל, הסר, חדיג'ה, לקן, סעוב, עסלי, פריאנטה, שמואל</v>
      </c>
    </row>
    <row r="27" spans="2:17" ht="43.2" x14ac:dyDescent="0.3">
      <c r="B27" s="22"/>
      <c r="C27" s="23"/>
      <c r="D27" s="23"/>
      <c r="E27" s="23"/>
      <c r="F27" s="24"/>
      <c r="H27" s="28" t="str" cm="1">
        <f t="array" ref="H27">_xlfn.LET(
  _xlpm.all_workers, _xlfn._xlws.FILTER($I$13:$I$23, $I$13:$I$23&lt;&gt;""),
  _xlpm.blocked_raw, IF(TRIM($R27)="", "", _xlfn.TEXTSPLIT($R27, ",")),
  _xlpm.blocked, IF(TRIM($R27)="", "", TRIM(_xlpm.blocked_raw)),
  _xlfn.TEXTJOIN(", ", TRUE, _xlfn._xlws.FILTER(_xlpm.all_workers, IF(TRIM($R27)="", TRUE, ISNA(MATCH(_xlpm.all_workers, _xlpm.blocked, 0)))))
)</f>
        <v>ארדשירוב, ברג, גלינסקיה, דקל, הסר, חדיג'ה, לקן, סעוב, עסלי, פריאנטה, שמואל</v>
      </c>
    </row>
    <row r="28" spans="2:17" ht="43.2" x14ac:dyDescent="0.3">
      <c r="B28" s="22"/>
      <c r="C28" s="23"/>
      <c r="D28" s="23"/>
      <c r="E28" s="23"/>
      <c r="F28" s="24"/>
      <c r="H28" s="28" t="str" cm="1">
        <f t="array" ref="H28">_xlfn.LET(
  _xlpm.all_workers, _xlfn._xlws.FILTER($I$13:$I$23, $I$13:$I$23&lt;&gt;""),
  _xlpm.blocked_raw, IF(TRIM($R28)="", "", _xlfn.TEXTSPLIT($R28, ",")),
  _xlpm.blocked, IF(TRIM($R28)="", "", TRIM(_xlpm.blocked_raw)),
  _xlfn.TEXTJOIN(", ", TRUE, _xlfn._xlws.FILTER(_xlpm.all_workers, IF(TRIM($R28)="", TRUE, ISNA(MATCH(_xlpm.all_workers, _xlpm.blocked, 0)))))
)</f>
        <v>ארדשירוב, ברג, גלינסקיה, דקל, הסר, חדיג'ה, לקן, סעוב, עסלי, פריאנטה, שמואל</v>
      </c>
    </row>
    <row r="29" spans="2:17" ht="43.2" x14ac:dyDescent="0.3">
      <c r="B29" s="22"/>
      <c r="C29" s="23"/>
      <c r="D29" s="23"/>
      <c r="E29" s="23"/>
      <c r="F29" s="24"/>
      <c r="H29" s="28" t="str" cm="1">
        <f t="array" ref="H29">_xlfn.LET(
  _xlpm.all_workers, _xlfn._xlws.FILTER($I$13:$I$23, $I$13:$I$23&lt;&gt;""),
  _xlpm.blocked_raw, IF(TRIM($R29)="", "", _xlfn.TEXTSPLIT($R29, ",")),
  _xlpm.blocked, IF(TRIM($R29)="", "", TRIM(_xlpm.blocked_raw)),
  _xlfn.TEXTJOIN(", ", TRUE, _xlfn._xlws.FILTER(_xlpm.all_workers, IF(TRIM($R29)="", TRUE, ISNA(MATCH(_xlpm.all_workers, _xlpm.blocked, 0)))))
)</f>
        <v>ארדשירוב, ברג, גלינסקיה, דקל, הסר, חדיג'ה, לקן, סעוב, עסלי, פריאנטה, שמואל</v>
      </c>
    </row>
    <row r="30" spans="2:17" ht="43.2" x14ac:dyDescent="0.3">
      <c r="B30" s="22"/>
      <c r="C30" s="23"/>
      <c r="D30" s="23"/>
      <c r="E30" s="23"/>
      <c r="F30" s="24"/>
      <c r="H30" s="28" t="str" cm="1">
        <f t="array" ref="H30">_xlfn.LET(
  _xlpm.all_workers, _xlfn._xlws.FILTER($I$13:$I$23, $I$13:$I$23&lt;&gt;""),
  _xlpm.blocked_raw, IF(TRIM($R30)="", "", _xlfn.TEXTSPLIT($R30, ",")),
  _xlpm.blocked, IF(TRIM($R30)="", "", TRIM(_xlpm.blocked_raw)),
  _xlfn.TEXTJOIN(", ", TRUE, _xlfn._xlws.FILTER(_xlpm.all_workers, IF(TRIM($R30)="", TRUE, ISNA(MATCH(_xlpm.all_workers, _xlpm.blocked, 0)))))
)</f>
        <v>ארדשירוב, ברג, גלינסקיה, דקל, הסר, חדיג'ה, לקן, סעוב, עסלי, פריאנטה, שמואל</v>
      </c>
    </row>
    <row r="31" spans="2:17" ht="43.2" x14ac:dyDescent="0.3">
      <c r="B31" s="22"/>
      <c r="C31" s="23"/>
      <c r="D31" s="23"/>
      <c r="E31" s="23"/>
      <c r="F31" s="24"/>
      <c r="H31" s="28" t="str" cm="1">
        <f t="array" ref="H31">_xlfn.LET(
  _xlpm.all_workers, _xlfn._xlws.FILTER($I$13:$I$23, $I$13:$I$23&lt;&gt;""),
  _xlpm.blocked_raw, IF(TRIM($R31)="", "", _xlfn.TEXTSPLIT($R31, ",")),
  _xlpm.blocked, IF(TRIM($R31)="", "", TRIM(_xlpm.blocked_raw)),
  _xlfn.TEXTJOIN(", ", TRUE, _xlfn._xlws.FILTER(_xlpm.all_workers, IF(TRIM($R31)="", TRUE, ISNA(MATCH(_xlpm.all_workers, _xlpm.blocked, 0)))))
)</f>
        <v>ארדשירוב, ברג, גלינסקיה, דקל, הסר, חדיג'ה, לקן, סעוב, עסלי, פריאנטה, שמואל</v>
      </c>
    </row>
    <row r="32" spans="2:17" ht="43.2" x14ac:dyDescent="0.3">
      <c r="B32" s="12"/>
      <c r="C32" s="8"/>
      <c r="D32" s="8"/>
      <c r="E32" s="8"/>
      <c r="F32" s="13"/>
      <c r="H32" s="28" t="str" cm="1">
        <f t="array" ref="H32">_xlfn.LET(
  _xlpm.all_workers, _xlfn._xlws.FILTER($I$13:$I$23, $I$13:$I$23&lt;&gt;""),
  _xlpm.blocked_raw, IF(TRIM($R32)="", "", _xlfn.TEXTSPLIT($R32, ",")),
  _xlpm.blocked, IF(TRIM($R32)="", "", TRIM(_xlpm.blocked_raw)),
  _xlfn.TEXTJOIN(", ", TRUE, _xlfn._xlws.FILTER(_xlpm.all_workers, IF(TRIM($R32)="", TRUE, ISNA(MATCH(_xlpm.all_workers, _xlpm.blocked, 0)))))
)</f>
        <v>ארדשירוב, ברג, גלינסקיה, דקל, הסר, חדיג'ה, לקן, סעוב, עסלי, פריאנטה, שמואל</v>
      </c>
    </row>
    <row r="33" spans="2:8" ht="43.2" x14ac:dyDescent="0.3">
      <c r="B33" s="12"/>
      <c r="C33" s="8"/>
      <c r="D33" s="8"/>
      <c r="E33" s="8"/>
      <c r="F33" s="13"/>
      <c r="H33" s="28" t="str" cm="1">
        <f t="array" ref="H33">_xlfn.LET(
  _xlpm.all_workers, _xlfn._xlws.FILTER($I$13:$I$23, $I$13:$I$23&lt;&gt;""),
  _xlpm.blocked_raw, IF(TRIM($R33)="", "", _xlfn.TEXTSPLIT($R33, ",")),
  _xlpm.blocked, IF(TRIM($R33)="", "", TRIM(_xlpm.blocked_raw)),
  _xlfn.TEXTJOIN(", ", TRUE, _xlfn._xlws.FILTER(_xlpm.all_workers, IF(TRIM($R33)="", TRUE, ISNA(MATCH(_xlpm.all_workers, _xlpm.blocked, 0)))))
)</f>
        <v>ארדשירוב, ברג, גלינסקיה, דקל, הסר, חדיג'ה, לקן, סעוב, עסלי, פריאנטה, שמואל</v>
      </c>
    </row>
    <row r="34" spans="2:8" ht="43.8" thickBot="1" x14ac:dyDescent="0.35">
      <c r="B34" s="14"/>
      <c r="C34" s="15"/>
      <c r="D34" s="15"/>
      <c r="E34" s="15"/>
      <c r="F34" s="16"/>
      <c r="H34" s="28" t="str" cm="1">
        <f t="array" ref="H34">_xlfn.LET(
  _xlpm.all_workers, _xlfn._xlws.FILTER($I$13:$I$23, $I$13:$I$23&lt;&gt;""),
  _xlpm.blocked_raw, IF(TRIM($R34)="", "", _xlfn.TEXTSPLIT($R34, ",")),
  _xlpm.blocked, IF(TRIM($R34)="", "", TRIM(_xlpm.blocked_raw)),
  _xlfn.TEXTJOIN(", ", TRUE, _xlfn._xlws.FILTER(_xlpm.all_workers, IF(TRIM($R34)="", TRUE, ISNA(MATCH(_xlpm.all_workers, _xlpm.blocked, 0)))))
)</f>
        <v>ארדשירוב, ברג, גלינסקיה, דקל, הסר, חדיג'ה, לקן, סעוב, עסלי, פריאנטה, שמואל</v>
      </c>
    </row>
  </sheetData>
  <mergeCells count="1">
    <mergeCell ref="C1:E1"/>
  </mergeCells>
  <conditionalFormatting sqref="J5:J12 M5:M12 Q5:Q23">
    <cfRule type="containsText" dxfId="7" priority="13" operator="containsText" text="~?">
      <formula>NOT(ISERROR(SEARCH("~?",J5)))</formula>
    </cfRule>
    <cfRule type="containsText" dxfId="6" priority="14" operator="containsText" text="~?">
      <formula>NOT(ISERROR(SEARCH("~?",J5)))</formula>
    </cfRule>
  </conditionalFormatting>
  <conditionalFormatting sqref="K13:P23">
    <cfRule type="containsText" dxfId="5" priority="9" operator="containsText" text="~?">
      <formula>NOT(ISERROR(SEARCH("~?",K13)))</formula>
    </cfRule>
    <cfRule type="containsText" dxfId="4" priority="10" operator="containsText" text="~?">
      <formula>NOT(ISERROR(SEARCH("~?",K13)))</formula>
    </cfRule>
  </conditionalFormatting>
  <conditionalFormatting sqref="I5:I13 I20:I23">
    <cfRule type="containsText" dxfId="3" priority="3" operator="containsText" text="~?">
      <formula>NOT(ISERROR(SEARCH("~?",I5)))</formula>
    </cfRule>
    <cfRule type="containsText" dxfId="2" priority="4" operator="containsText" text="~?">
      <formula>NOT(ISERROR(SEARCH("~?",I5)))</formula>
    </cfRule>
  </conditionalFormatting>
  <conditionalFormatting sqref="I14:I19">
    <cfRule type="containsText" dxfId="1" priority="1" operator="containsText" text="~?">
      <formula>NOT(ISERROR(SEARCH("~?",I14)))</formula>
    </cfRule>
    <cfRule type="containsText" dxfId="0" priority="2" operator="containsText" text="~?">
      <formula>NOT(ISERROR(SEARCH("~?",I14)))</formula>
    </cfRule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rightToLeft="1" workbookViewId="0">
      <selection activeCell="C26" sqref="C26"/>
    </sheetView>
  </sheetViews>
  <sheetFormatPr defaultRowHeight="14.4" x14ac:dyDescent="0.3"/>
  <cols>
    <col min="1" max="1" width="18" customWidth="1"/>
    <col min="2" max="2" width="4" customWidth="1"/>
    <col min="3" max="3" width="22" customWidth="1"/>
  </cols>
  <sheetData>
    <row r="1" spans="1:3" x14ac:dyDescent="0.3">
      <c r="A1" s="3" t="s">
        <v>23</v>
      </c>
      <c r="C1" s="4" t="s">
        <v>56</v>
      </c>
    </row>
    <row r="2" spans="1:3" x14ac:dyDescent="0.3">
      <c r="A2" s="3" t="s">
        <v>21</v>
      </c>
      <c r="C2" s="3" t="s">
        <v>57</v>
      </c>
    </row>
    <row r="3" spans="1:3" x14ac:dyDescent="0.3">
      <c r="A3" s="3" t="s">
        <v>11</v>
      </c>
      <c r="C3" s="3" t="s">
        <v>58</v>
      </c>
    </row>
    <row r="4" spans="1:3" x14ac:dyDescent="0.3">
      <c r="A4" s="3" t="s">
        <v>2</v>
      </c>
      <c r="C4" s="3" t="s">
        <v>42</v>
      </c>
    </row>
    <row r="5" spans="1:3" x14ac:dyDescent="0.3">
      <c r="C5" s="3" t="s">
        <v>15</v>
      </c>
    </row>
    <row r="6" spans="1:3" x14ac:dyDescent="0.3">
      <c r="A6" s="3" t="s">
        <v>17</v>
      </c>
      <c r="C6" s="3" t="s">
        <v>32</v>
      </c>
    </row>
    <row r="7" spans="1:3" x14ac:dyDescent="0.3">
      <c r="A7" s="3" t="s">
        <v>4</v>
      </c>
      <c r="C7" s="3" t="s">
        <v>36</v>
      </c>
    </row>
    <row r="8" spans="1:3" x14ac:dyDescent="0.3">
      <c r="A8" s="3" t="s">
        <v>19</v>
      </c>
      <c r="C8" s="3" t="s">
        <v>9</v>
      </c>
    </row>
    <row r="9" spans="1:3" x14ac:dyDescent="0.3">
      <c r="A9" s="3" t="s">
        <v>14</v>
      </c>
      <c r="C9" s="3"/>
    </row>
    <row r="10" spans="1:3" x14ac:dyDescent="0.3">
      <c r="A10" s="3" t="s">
        <v>13</v>
      </c>
      <c r="C10" s="3"/>
    </row>
    <row r="11" spans="1:3" x14ac:dyDescent="0.3">
      <c r="A11" s="3" t="s">
        <v>50</v>
      </c>
      <c r="C11" s="5"/>
    </row>
    <row r="12" spans="1:3" x14ac:dyDescent="0.3">
      <c r="A12" s="3" t="s">
        <v>6</v>
      </c>
      <c r="C12" s="5"/>
    </row>
    <row r="13" spans="1:3" x14ac:dyDescent="0.3">
      <c r="A13" s="3" t="s">
        <v>34</v>
      </c>
      <c r="C13" s="5"/>
    </row>
    <row r="14" spans="1:3" x14ac:dyDescent="0.3">
      <c r="A14" s="3" t="s">
        <v>16</v>
      </c>
      <c r="C14" s="5"/>
    </row>
    <row r="15" spans="1:3" x14ac:dyDescent="0.3">
      <c r="A15" s="3" t="s">
        <v>10</v>
      </c>
      <c r="C15" s="5"/>
    </row>
    <row r="16" spans="1:3" x14ac:dyDescent="0.3">
      <c r="A16" s="3" t="s">
        <v>3</v>
      </c>
      <c r="C16" s="5"/>
    </row>
    <row r="17" spans="1:3" x14ac:dyDescent="0.3">
      <c r="A17" s="3" t="s">
        <v>5</v>
      </c>
      <c r="C17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10"/>
  <sheetViews>
    <sheetView rightToLeft="1" workbookViewId="0">
      <selection activeCell="C10" sqref="C10"/>
    </sheetView>
  </sheetViews>
  <sheetFormatPr defaultRowHeight="14.4" x14ac:dyDescent="0.3"/>
  <cols>
    <col min="1" max="4" width="18" customWidth="1"/>
  </cols>
  <sheetData>
    <row r="2" spans="1:5" ht="18" x14ac:dyDescent="0.3">
      <c r="A2" s="52" t="s">
        <v>59</v>
      </c>
      <c r="B2" s="53"/>
      <c r="C2" s="53"/>
      <c r="D2" s="53"/>
      <c r="E2" s="53"/>
    </row>
    <row r="4" spans="1:5" x14ac:dyDescent="0.3">
      <c r="A4" s="6"/>
      <c r="B4" s="6"/>
      <c r="C4" s="6"/>
      <c r="D4" s="6"/>
    </row>
    <row r="5" spans="1:5" x14ac:dyDescent="0.3">
      <c r="A5" s="2" t="str" cm="1">
        <f t="array" ref="A5">IFERROR(INDEX(A$11:A$34,_xlfn.AGGREGATE(15,6,(ROW(A$11:A$34)-ROW(A$11)+1)/(A$11:A$34&lt;&gt;""),1)),"")</f>
        <v/>
      </c>
      <c r="B5" s="2" t="str" cm="1">
        <f t="array" ref="B5">IFERROR(INDEX(B$11:B$34,_xlfn.AGGREGATE(15,6,(ROW(B$11:B$34)-ROW(B$11)+1)/(B$11:B$34&lt;&gt;""),1)),"")</f>
        <v/>
      </c>
      <c r="C5" s="2" t="str" cm="1">
        <f t="array" ref="C5">IFERROR(INDEX(C$11:C$34,_xlfn.AGGREGATE(15,6,(ROW(C$11:C$34)-ROW(C$11)+1)/(C$11:C$34&lt;&gt;""),1)),"")</f>
        <v/>
      </c>
      <c r="D5" s="2" t="str" cm="1">
        <f t="array" ref="D5">IFERROR(INDEX(D$11:D$34,_xlfn.AGGREGATE(15,6,(ROW(D$11:D$34)-ROW(D$11)+1)/(D$11:D$34&lt;&gt;""),1)),"")</f>
        <v/>
      </c>
    </row>
    <row r="6" spans="1:5" x14ac:dyDescent="0.3">
      <c r="A6" s="2" t="str" cm="1">
        <f t="array" ref="A6">IFERROR(INDEX(A$11:A$34,_xlfn.AGGREGATE(15,6,(ROW(A$11:A$34)-ROW(A$11)+1)/(A$11:A$34&lt;&gt;""),2)),"")</f>
        <v/>
      </c>
      <c r="B6" s="2" t="str" cm="1">
        <f t="array" ref="B6">IFERROR(INDEX(B$11:B$34,_xlfn.AGGREGATE(15,6,(ROW(B$11:B$34)-ROW(B$11)+1)/(B$11:B$34&lt;&gt;""),2)),"")</f>
        <v/>
      </c>
      <c r="C6" s="2" t="str" cm="1">
        <f t="array" ref="C6">IFERROR(INDEX(C$11:C$34,_xlfn.AGGREGATE(15,6,(ROW(C$11:C$34)-ROW(C$11)+1)/(C$11:C$34&lt;&gt;""),2)),"")</f>
        <v/>
      </c>
      <c r="D6" s="2" t="str" cm="1">
        <f t="array" ref="D6">IFERROR(INDEX(D$11:D$34,_xlfn.AGGREGATE(15,6,(ROW(D$11:D$34)-ROW(D$11)+1)/(D$11:D$34&lt;&gt;""),2)),"")</f>
        <v/>
      </c>
    </row>
    <row r="7" spans="1:5" x14ac:dyDescent="0.3">
      <c r="A7" s="2" t="str" cm="1">
        <f t="array" ref="A7">IFERROR(INDEX(A$11:A$34,_xlfn.AGGREGATE(15,6,(ROW(A$11:A$34)-ROW(A$11)+1)/(A$11:A$34&lt;&gt;""),3)),"")</f>
        <v/>
      </c>
      <c r="B7" s="2" t="str" cm="1">
        <f t="array" ref="B7">IFERROR(INDEX(B$11:B$34,_xlfn.AGGREGATE(15,6,(ROW(B$11:B$34)-ROW(B$11)+1)/(B$11:B$34&lt;&gt;""),3)),"")</f>
        <v/>
      </c>
      <c r="C7" s="2" t="str" cm="1">
        <f t="array" ref="C7">IFERROR(INDEX(C$11:C$34,_xlfn.AGGREGATE(15,6,(ROW(C$11:C$34)-ROW(C$11)+1)/(C$11:C$34&lt;&gt;""),3)),"")</f>
        <v/>
      </c>
      <c r="D7" s="2" t="str" cm="1">
        <f t="array" ref="D7">IFERROR(INDEX(D$11:D$34,_xlfn.AGGREGATE(15,6,(ROW(D$11:D$34)-ROW(D$11)+1)/(D$11:D$34&lt;&gt;""),3)),"")</f>
        <v/>
      </c>
    </row>
    <row r="8" spans="1:5" x14ac:dyDescent="0.3">
      <c r="A8" s="2" t="str" cm="1">
        <f t="array" ref="A8">IFERROR(INDEX(A$11:A$34,_xlfn.AGGREGATE(15,6,(ROW(A$11:A$34)-ROW(A$11)+1)/(A$11:A$34&lt;&gt;""),4)),"")</f>
        <v/>
      </c>
      <c r="B8" s="2" t="str" cm="1">
        <f t="array" ref="B8">IFERROR(INDEX(B$11:B$34,_xlfn.AGGREGATE(15,6,(ROW(B$11:B$34)-ROW(B$11)+1)/(B$11:B$34&lt;&gt;""),4)),"")</f>
        <v/>
      </c>
      <c r="C8" s="2" t="str" cm="1">
        <f t="array" ref="C8">IFERROR(INDEX(C$11:C$34,_xlfn.AGGREGATE(15,6,(ROW(C$11:C$34)-ROW(C$11)+1)/(C$11:C$34&lt;&gt;""),4)),"")</f>
        <v/>
      </c>
      <c r="D8" s="2" t="str" cm="1">
        <f t="array" ref="D8">IFERROR(INDEX(D$11:D$34,_xlfn.AGGREGATE(15,6,(ROW(D$11:D$34)-ROW(D$11)+1)/(D$11:D$34&lt;&gt;""),4)),"")</f>
        <v/>
      </c>
    </row>
    <row r="9" spans="1:5" x14ac:dyDescent="0.3">
      <c r="A9" s="2" t="str" cm="1">
        <f t="array" ref="A9">IFERROR(INDEX(A$11:A$34,_xlfn.AGGREGATE(15,6,(ROW(A$11:A$34)-ROW(A$11)+1)/(A$11:A$34&lt;&gt;""),5)),"")</f>
        <v/>
      </c>
      <c r="B9" s="2" t="str" cm="1">
        <f t="array" ref="B9">IFERROR(INDEX(B$11:B$34,_xlfn.AGGREGATE(15,6,(ROW(B$11:B$34)-ROW(B$11)+1)/(B$11:B$34&lt;&gt;""),5)),"")</f>
        <v/>
      </c>
      <c r="C9" s="2" t="str" cm="1">
        <f t="array" ref="C9">IFERROR(INDEX(C$11:C$34,_xlfn.AGGREGATE(15,6,(ROW(C$11:C$34)-ROW(C$11)+1)/(C$11:C$34&lt;&gt;""),5)),"")</f>
        <v/>
      </c>
      <c r="D9" s="2" t="str" cm="1">
        <f t="array" ref="D9">IFERROR(INDEX(D$11:D$34,_xlfn.AGGREGATE(15,6,(ROW(D$11:D$34)-ROW(D$11)+1)/(D$11:D$34&lt;&gt;""),5)),"")</f>
        <v/>
      </c>
    </row>
    <row r="10" spans="1:5" x14ac:dyDescent="0.3">
      <c r="A10" t="str" cm="1">
        <f t="array" ref="A10">IFERROR(INDEX(A$11:A$34,_xlfn.AGGREGATE(15,6,(ROW(A$11:A$34)-ROW(A$11)+1)/(A$11:A$34&lt;&gt;""),6)),"")</f>
        <v/>
      </c>
      <c r="B10" t="str" cm="1">
        <f t="array" ref="B10">IFERROR(INDEX(B$11:B$34,_xlfn.AGGREGATE(15,6,(ROW(B$11:B$34)-ROW(B$11)+1)/(B$11:B$34&lt;&gt;""),6)),"")</f>
        <v/>
      </c>
      <c r="C10" t="str" cm="1">
        <f t="array" ref="C10">IFERROR(INDEX(C$11:C$34,_xlfn.AGGREGATE(15,6,(ROW(C$11:C$34)-ROW(C$11)+1)/(C$11:C$34&lt;&gt;""),6)),"")</f>
        <v/>
      </c>
      <c r="D10" t="str" cm="1">
        <f t="array" ref="D10">IFERROR(INDEX(D$11:D$34,_xlfn.AGGREGATE(15,6,(ROW(D$11:D$34)-ROW(D$11)+1)/(D$11:D$34&lt;&gt;""),6)),"")</f>
        <v/>
      </c>
    </row>
  </sheetData>
  <mergeCells count="1">
    <mergeCell ref="A2:E2"/>
  </mergeCell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E34"/>
  <sheetViews>
    <sheetView rightToLeft="1" workbookViewId="0">
      <pane xSplit="2" ySplit="3" topLeftCell="C4" activePane="bottomRight" state="frozen"/>
      <selection pane="topRight"/>
      <selection pane="bottomLeft"/>
      <selection pane="bottomRight" activeCell="E10" sqref="E10"/>
    </sheetView>
  </sheetViews>
  <sheetFormatPr defaultRowHeight="14.4" x14ac:dyDescent="0.3"/>
  <cols>
    <col min="3" max="3" width="20" customWidth="1"/>
    <col min="4" max="4" width="14" customWidth="1"/>
    <col min="5" max="5" width="20" customWidth="1"/>
  </cols>
  <sheetData>
    <row r="1" spans="3:5" ht="18" x14ac:dyDescent="0.3">
      <c r="C1" s="52" t="s">
        <v>60</v>
      </c>
      <c r="D1" s="53"/>
      <c r="E1" s="53"/>
    </row>
    <row r="3" spans="3:5" x14ac:dyDescent="0.3">
      <c r="C3" s="4" t="s">
        <v>52</v>
      </c>
      <c r="D3" s="4" t="s">
        <v>53</v>
      </c>
      <c r="E3" s="4" t="s">
        <v>61</v>
      </c>
    </row>
    <row r="4" spans="3:5" x14ac:dyDescent="0.3">
      <c r="C4" s="1"/>
      <c r="D4" s="7"/>
      <c r="E4" s="7">
        <f>'2026-03'!B$10</f>
        <v>0</v>
      </c>
    </row>
    <row r="5" spans="3:5" x14ac:dyDescent="0.3">
      <c r="C5" s="1"/>
      <c r="D5" s="7"/>
      <c r="E5" s="7">
        <f>'2026-03'!C$10</f>
        <v>0</v>
      </c>
    </row>
    <row r="6" spans="3:5" x14ac:dyDescent="0.3">
      <c r="C6" s="1"/>
      <c r="D6" s="7"/>
      <c r="E6" s="7">
        <f>'2026-03'!D$10</f>
        <v>0</v>
      </c>
    </row>
    <row r="7" spans="3:5" x14ac:dyDescent="0.3">
      <c r="C7" s="1"/>
      <c r="D7" s="7"/>
      <c r="E7" s="7">
        <f>'2026-03'!E$10</f>
        <v>0</v>
      </c>
    </row>
    <row r="8" spans="3:5" x14ac:dyDescent="0.3">
      <c r="C8" s="25"/>
      <c r="D8" s="26"/>
      <c r="E8" s="26">
        <f>'2026-03'!F$10</f>
        <v>0</v>
      </c>
    </row>
    <row r="9" spans="3:5" x14ac:dyDescent="0.3">
      <c r="C9" s="25"/>
      <c r="D9" s="26"/>
      <c r="E9" s="26">
        <f>'2026-03'!G$10</f>
        <v>0</v>
      </c>
    </row>
    <row r="10" spans="3:5" x14ac:dyDescent="0.3">
      <c r="C10" s="25"/>
      <c r="D10" s="26"/>
      <c r="E10" s="26">
        <f>'2026-03'!H$10</f>
        <v>0</v>
      </c>
    </row>
    <row r="11" spans="3:5" x14ac:dyDescent="0.3">
      <c r="C11" s="25"/>
      <c r="D11" s="26"/>
      <c r="E11" s="26">
        <f>'2026-03'!B$45</f>
        <v>0</v>
      </c>
    </row>
    <row r="12" spans="3:5" x14ac:dyDescent="0.3">
      <c r="C12" s="25"/>
      <c r="D12" s="26"/>
      <c r="E12" s="26">
        <f>'2026-03'!C$45</f>
        <v>0</v>
      </c>
    </row>
    <row r="13" spans="3:5" x14ac:dyDescent="0.3">
      <c r="C13" s="25"/>
      <c r="D13" s="26"/>
      <c r="E13" s="26">
        <f>'2026-03'!D$45</f>
        <v>0</v>
      </c>
    </row>
    <row r="14" spans="3:5" x14ac:dyDescent="0.3">
      <c r="C14" s="25"/>
      <c r="D14" s="26"/>
      <c r="E14" s="26">
        <f>'2026-03'!E$45</f>
        <v>0</v>
      </c>
    </row>
    <row r="15" spans="3:5" x14ac:dyDescent="0.3">
      <c r="C15" s="25"/>
      <c r="D15" s="26"/>
      <c r="E15" s="26">
        <f>'2026-03'!F$45</f>
        <v>0</v>
      </c>
    </row>
    <row r="16" spans="3:5" x14ac:dyDescent="0.3">
      <c r="C16" s="25"/>
      <c r="D16" s="26"/>
      <c r="E16" s="26">
        <f>'2026-03'!G$45</f>
        <v>0</v>
      </c>
    </row>
    <row r="17" spans="3:5" x14ac:dyDescent="0.3">
      <c r="C17" s="25"/>
      <c r="D17" s="26"/>
      <c r="E17" s="26">
        <f>'2026-03'!H$45</f>
        <v>0</v>
      </c>
    </row>
    <row r="18" spans="3:5" x14ac:dyDescent="0.3">
      <c r="C18" s="25"/>
      <c r="D18" s="26"/>
      <c r="E18" s="26">
        <f>'2026-03'!B$80</f>
        <v>0</v>
      </c>
    </row>
    <row r="19" spans="3:5" x14ac:dyDescent="0.3">
      <c r="C19" s="25"/>
      <c r="D19" s="26"/>
      <c r="E19" s="26">
        <f>'2026-03'!C$80</f>
        <v>0</v>
      </c>
    </row>
    <row r="20" spans="3:5" x14ac:dyDescent="0.3">
      <c r="C20" s="25"/>
      <c r="D20" s="26"/>
      <c r="E20" s="26">
        <f>'2026-03'!D$80</f>
        <v>0</v>
      </c>
    </row>
    <row r="21" spans="3:5" x14ac:dyDescent="0.3">
      <c r="C21" s="25"/>
      <c r="D21" s="26"/>
      <c r="E21" s="26">
        <f>'2026-03'!E$80</f>
        <v>0</v>
      </c>
    </row>
    <row r="22" spans="3:5" x14ac:dyDescent="0.3">
      <c r="C22" s="25"/>
      <c r="D22" s="26"/>
      <c r="E22" s="26">
        <f>'2026-03'!F$80</f>
        <v>0</v>
      </c>
    </row>
    <row r="23" spans="3:5" x14ac:dyDescent="0.3">
      <c r="C23" s="25"/>
      <c r="D23" s="26"/>
      <c r="E23" s="26">
        <f>'2026-03'!G$80</f>
        <v>0</v>
      </c>
    </row>
    <row r="24" spans="3:5" x14ac:dyDescent="0.3">
      <c r="C24" s="25"/>
      <c r="D24" s="26"/>
      <c r="E24" s="26">
        <f>'2026-03'!H$80</f>
        <v>0</v>
      </c>
    </row>
    <row r="25" spans="3:5" x14ac:dyDescent="0.3">
      <c r="C25" s="25"/>
      <c r="D25" s="26"/>
      <c r="E25" s="26">
        <f>'2026-03'!B$115</f>
        <v>0</v>
      </c>
    </row>
    <row r="26" spans="3:5" x14ac:dyDescent="0.3">
      <c r="C26" s="25"/>
      <c r="D26" s="26"/>
      <c r="E26" s="26">
        <f>'2026-03'!C$115</f>
        <v>0</v>
      </c>
    </row>
    <row r="27" spans="3:5" x14ac:dyDescent="0.3">
      <c r="C27" s="25"/>
      <c r="D27" s="26"/>
      <c r="E27" s="26">
        <f>'2026-03'!D$115</f>
        <v>0</v>
      </c>
    </row>
    <row r="28" spans="3:5" x14ac:dyDescent="0.3">
      <c r="C28" s="25"/>
      <c r="D28" s="26"/>
      <c r="E28" s="26">
        <f>'2026-03'!E$115</f>
        <v>0</v>
      </c>
    </row>
    <row r="29" spans="3:5" x14ac:dyDescent="0.3">
      <c r="C29" s="25"/>
      <c r="D29" s="26"/>
      <c r="E29" s="26">
        <f>'2026-03'!F$115</f>
        <v>0</v>
      </c>
    </row>
    <row r="30" spans="3:5" x14ac:dyDescent="0.3">
      <c r="C30" s="25"/>
      <c r="D30" s="26"/>
      <c r="E30" s="26">
        <f>'2026-03'!G$115</f>
        <v>0</v>
      </c>
    </row>
    <row r="31" spans="3:5" x14ac:dyDescent="0.3">
      <c r="C31" s="25"/>
      <c r="D31" s="26"/>
      <c r="E31" s="26">
        <f>'2026-03'!H$115</f>
        <v>0</v>
      </c>
    </row>
    <row r="32" spans="3:5" x14ac:dyDescent="0.3">
      <c r="C32" s="1"/>
      <c r="D32" s="7"/>
      <c r="E32" s="7">
        <f>'2026-03'!B$151</f>
        <v>0</v>
      </c>
    </row>
    <row r="33" spans="3:5" x14ac:dyDescent="0.3">
      <c r="C33" s="1"/>
      <c r="D33" s="7"/>
      <c r="E33" s="7">
        <f>'2026-03'!C$151</f>
        <v>0</v>
      </c>
    </row>
    <row r="34" spans="3:5" x14ac:dyDescent="0.3">
      <c r="C34" s="1"/>
      <c r="D34" s="7"/>
      <c r="E34" s="7">
        <f>'2026-03'!D$151</f>
        <v>0</v>
      </c>
    </row>
  </sheetData>
  <mergeCells count="1">
    <mergeCell ref="C1:E1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2026-03</vt:lpstr>
      <vt:lpstr>תורנויות</vt:lpstr>
      <vt:lpstr>עובדים</vt:lpstr>
      <vt:lpstr>ימי שישי</vt:lpstr>
      <vt:lpstr>ייעוצים</vt:lpstr>
      <vt:lpstr>'2026-03'!Print_Area</vt:lpstr>
      <vt:lpstr>תורנויות!Print_Area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שלומי שמואל</cp:lastModifiedBy>
  <cp:lastPrinted>2026-03-10T12:56:13Z</cp:lastPrinted>
  <dcterms:created xsi:type="dcterms:W3CDTF">2026-02-25T18:51:02Z</dcterms:created>
  <dcterms:modified xsi:type="dcterms:W3CDTF">2026-06-06T19:23:03Z</dcterms:modified>
</cp:coreProperties>
</file>